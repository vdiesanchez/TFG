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"/>
    </mc:Choice>
  </mc:AlternateContent>
  <xr:revisionPtr revIDLastSave="0" documentId="8_{54351F02-95C3-1F43-BAFB-7254F758EC2A}" xr6:coauthVersionLast="47" xr6:coauthVersionMax="47" xr10:uidLastSave="{00000000-0000-0000-0000-000000000000}"/>
  <bookViews>
    <workbookView xWindow="0" yWindow="0" windowWidth="28800" windowHeight="18000" firstSheet="5" activeTab="12" xr2:uid="{ABE133A8-5FA3-3241-8560-7F810F1958BC}"/>
  </bookViews>
  <sheets>
    <sheet name="Tabla (4)" sheetId="20" r:id="rId1"/>
    <sheet name="ocupados (3)" sheetId="19" r:id="rId2"/>
    <sheet name="horas habitualmente trabajadas" sheetId="12" r:id="rId3"/>
    <sheet name="coste laboral" sheetId="11" r:id="rId4"/>
    <sheet name="Tabla" sheetId="10" r:id="rId5"/>
    <sheet name="parados larga duracion" sheetId="9" r:id="rId6"/>
    <sheet name="parados corta duracion" sheetId="8" r:id="rId7"/>
    <sheet name="total absentismo" sheetId="7" r:id="rId8"/>
    <sheet name="enf, accidente" sheetId="6" r:id="rId9"/>
    <sheet name="horas trabajadas" sheetId="5" r:id="rId10"/>
    <sheet name="ACTIVIDAD" sheetId="3" r:id="rId11"/>
    <sheet name="PARO" sheetId="13" r:id="rId12"/>
    <sheet name="merge para el modelo" sheetId="21" r:id="rId13"/>
    <sheet name="merge" sheetId="2" r:id="rId14"/>
    <sheet name="Hoja3" sheetId="17" r:id="rId15"/>
  </sheets>
  <definedNames>
    <definedName name="DatosExternos_1" localSheetId="10" hidden="1">ACTIVIDAD!$A$1:$B$25</definedName>
    <definedName name="DatosExternos_1" localSheetId="3" hidden="1">'coste laboral'!$A$1:$B$19</definedName>
    <definedName name="DatosExternos_1" localSheetId="2" hidden="1">'horas habitualmente trabajadas'!$A$1:$B$19</definedName>
    <definedName name="DatosExternos_1" localSheetId="13" hidden="1">merge!$A$1:$K$25</definedName>
    <definedName name="DatosExternos_1" localSheetId="12" hidden="1">'merge para el modelo'!$A$1:$K$25</definedName>
    <definedName name="DatosExternos_1" localSheetId="1" hidden="1">'ocupados (3)'!$A$1:$B$25</definedName>
    <definedName name="DatosExternos_1" localSheetId="1" hidden="1">'ocupados (3)'!$A$1:$B$25</definedName>
    <definedName name="DatosExternos_1" localSheetId="11" hidden="1">PARO!$A$1:$B$25</definedName>
    <definedName name="DatosExternos_1" localSheetId="4" hidden="1">Tabla!$A$1:$B$19</definedName>
    <definedName name="DatosExternos_1" localSheetId="7" hidden="1">'total absentismo'!$A$1:$B$19</definedName>
    <definedName name="DatosExternos_2" localSheetId="8" hidden="1">'enf, accidente'!$A$1:$B$19</definedName>
    <definedName name="DatosExternos_2" localSheetId="6" hidden="1">'parados corta duracion'!$A$1:$C$25</definedName>
    <definedName name="DatosExternos_2" localSheetId="0" hidden="1">'Tabla (4)'!$A$1:$B$25</definedName>
    <definedName name="DatosExternos_3" localSheetId="5" hidden="1">'parados larga duracion'!$A$1:$C$25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1" l="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9" i="21"/>
  <c r="N2" i="21"/>
  <c r="N3" i="21"/>
  <c r="N4" i="21"/>
  <c r="N5" i="21"/>
  <c r="N6" i="21"/>
  <c r="N7" i="21"/>
  <c r="N8" i="21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M2" i="2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B6523-CA78-EB46-B49B-61406AB5178B}" keepAlive="1" name="Consulta - absentismo total" description="Conexión a la consulta 'absentismo total' en el libro." type="5" refreshedVersion="8" background="1" saveData="1">
    <dbPr connection="Provider=Microsoft.Mashup.OleDb.1;Data Source=$Workbook$;Location=&quot;absentismo total&quot;;Extended Properties=&quot;&quot;" command="SELECT * FROM [absentismo total]"/>
  </connection>
  <connection id="2" xr16:uid="{4BAF8365-2634-B445-9AF0-5A8C0F6D6FA2}" keepAlive="1" name="Consulta - actividad" description="Conexión a la consulta 'actividad' en el libro." type="5" refreshedVersion="8" background="1" saveData="1">
    <dbPr connection="Provider=Microsoft.Mashup.OleDb.1;Data Source=$Workbook$;Location=actividad;Extended Properties=&quot;&quot;" command="SELECT * FROM [actividad]"/>
  </connection>
  <connection id="3" xr16:uid="{42D53864-81C5-E644-A33B-952F783BABF2}" keepAlive="1" name="Consulta - corta duracion" description="Conexión a la consulta 'corta duracion' en el libro." type="5" refreshedVersion="8" background="1" saveData="1">
    <dbPr connection="Provider=Microsoft.Mashup.OleDb.1;Data Source=$Workbook$;Location=&quot;corta duracion&quot;;Extended Properties=&quot;&quot;" command="SELECT * FROM [corta duracion]"/>
  </connection>
  <connection id="4" xr16:uid="{95E9952E-0817-D140-9A42-EFBAA64DD4F4}" keepAlive="1" name="Consulta - coste laboral" description="Conexión a la consulta 'coste laboral' en el libro." type="5" refreshedVersion="8" background="1" saveData="1">
    <dbPr connection="Provider=Microsoft.Mashup.OleDb.1;Data Source=$Workbook$;Location=&quot;coste laboral&quot;;Extended Properties=&quot;&quot;" command="SELECT * FROM [coste laboral]"/>
  </connection>
  <connection id="5" xr16:uid="{EDC23874-73BD-6C4C-A9AA-D6E3852EB9FA}" keepAlive="1" name="Consulta - enf, accidente" description="Conexión a la consulta 'enf, accidente' en el libro." type="5" refreshedVersion="8" background="1" saveData="1">
    <dbPr connection="Provider=Microsoft.Mashup.OleDb.1;Data Source=$Workbook$;Location=&quot;enf, accidente&quot;;Extended Properties=&quot;&quot;" command="SELECT * FROM [enf, accidente]"/>
  </connection>
  <connection id="6" xr16:uid="{43DE2CA9-0DE0-B14C-AD4D-C2C50EC18502}" keepAlive="1" name="Consulta - horas habitualmente" description="Conexión a la consulta 'horas habitualmente' en el libro." type="5" refreshedVersion="8" background="1" saveData="1">
    <dbPr connection="Provider=Microsoft.Mashup.OleDb.1;Data Source=$Workbook$;Location=&quot;horas habitualmente&quot;;Extended Properties=&quot;&quot;" command="SELECT * FROM [horas habitualmente]"/>
  </connection>
  <connection id="7" xr16:uid="{F8889BA4-CFC5-F04C-B7B9-18C40284D5E0}" keepAlive="1" name="Consulta - larga duracion" description="Conexión a la consulta 'larga duracion' en el libro." type="5" refreshedVersion="8" background="1" saveData="1">
    <dbPr connection="Provider=Microsoft.Mashup.OleDb.1;Data Source=$Workbook$;Location=&quot;larga duracion&quot;;Extended Properties=&quot;&quot;" command="SELECT * FROM [larga duracion]"/>
  </connection>
  <connection id="8" xr16:uid="{FE5C505F-38F6-AB4E-9204-5D6731AA07C3}" keepAlive="1" name="Consulta - ocupados" description="Conexión a la consulta 'ocupados' en el libro." type="5" refreshedVersion="8" background="1" saveData="1">
    <dbPr connection="Provider=Microsoft.Mashup.OleDb.1;Data Source=$Workbook$;Location=ocupados;Extended Properties=&quot;&quot;" command="SELECT * FROM [ocupados]"/>
  </connection>
  <connection id="9" xr16:uid="{459EA2F7-8419-3E4D-A7FD-9521873F603C}" keepAlive="1" name="Consulta - paro" description="Conexión a la consulta 'paro' en el libro." type="5" refreshedVersion="8" background="1" saveData="1">
    <dbPr connection="Provider=Microsoft.Mashup.OleDb.1;Data Source=$Workbook$;Location=paro;Extended Properties=&quot;&quot;" command="SELECT * FROM [paro]"/>
  </connection>
  <connection id="10" xr16:uid="{18E4C586-6A07-8346-B01D-BBE48EEAFB8E}" keepAlive="1" name="Consulta - paro (2)" description="Conexión a la consulta 'paro (2)' en el libro." type="5" refreshedVersion="8" background="1" saveData="1">
    <dbPr connection="Provider=Microsoft.Mashup.OleDb.1;Data Source=$Workbook$;Location=&quot;paro (2)&quot;;Extended Properties=&quot;&quot;" command="SELECT * FROM [paro (2)]"/>
  </connection>
  <connection id="11" xr16:uid="{87237EA4-E6BC-9A41-AA1C-B3B16943FC70}" keepAlive="1" name="Consulta - paro (3)" description="Conexión a la consulta 'paro (3)' en el libro." type="5" refreshedVersion="8" background="1" saveData="1">
    <dbPr connection="Provider=Microsoft.Mashup.OleDb.1;Data Source=$Workbook$;Location=&quot;paro (3)&quot;;Extended Properties=&quot;&quot;" command="SELECT * FROM [paro (3)]"/>
  </connection>
  <connection id="12" xr16:uid="{402C8DDA-7090-4F46-9901-7B09838CF0F4}" keepAlive="1" name="Consulta - paro (4)" description="Conexión a la consulta 'paro (4)' en el libro." type="5" refreshedVersion="8" background="1" saveData="1">
    <dbPr connection="Provider=Microsoft.Mashup.OleDb.1;Data Source=$Workbook$;Location=&quot;paro (4)&quot;;Extended Properties=&quot;&quot;" command="SELECT * FROM [paro (4)]"/>
  </connection>
  <connection id="13" xr16:uid="{1B981453-2529-A248-811E-B8D7A76DF8FE}" keepAlive="1" name="Consulta - Tabla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  <connection id="14" xr16:uid="{ACD9D156-A1ED-2149-A71C-CF129A36A3BB}" keepAlive="1" name="Consulta - Tabla (2)" description="Conexión a la consulta 'Tabla (2)' en el libro." type="5" refreshedVersion="8" background="1" saveData="1">
    <dbPr connection="Provider=Microsoft.Mashup.OleDb.1;Data Source=$Workbook$;Location=&quot;Tabla (2)&quot;;Extended Properties=&quot;&quot;" command="SELECT * FROM [Tabla (2)]"/>
  </connection>
  <connection id="15" xr16:uid="{53B4238D-53A0-3446-9E3F-3A1670BA09D6}" keepAlive="1" name="Consulta - Tabla (3)" description="Conexión a la consulta 'Tabla (3)' en el libro." type="5" refreshedVersion="8" background="1" saveData="1">
    <dbPr connection="Provider=Microsoft.Mashup.OleDb.1;Data Source=$Workbook$;Location=&quot;Tabla (3)&quot;;Extended Properties=&quot;&quot;" command="SELECT * FROM [Tabla (3)]"/>
  </connection>
  <connection id="16" xr16:uid="{8353F8A7-56D4-5244-AE44-AA32B8F35877}" keepAlive="1" name="Consulta - Tabla (4)" description="Conexión a la consulta 'Tabla (4)' en el libro." type="5" refreshedVersion="8" background="1" saveData="1">
    <dbPr connection="Provider=Microsoft.Mashup.OleDb.1;Data Source=$Workbook$;Location=&quot;Tabla (4)&quot;;Extended Properties=&quot;&quot;" command="SELECT * FROM [Tabla (4)]"/>
  </connection>
  <connection id="17" xr16:uid="{4058E734-CD53-1F48-AFDC-FDBB69844B3B}" keepAlive="1" name="Consulta - Tabla1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</connections>
</file>

<file path=xl/sharedStrings.xml><?xml version="1.0" encoding="utf-8"?>
<sst xmlns="http://schemas.openxmlformats.org/spreadsheetml/2006/main" count="100" uniqueCount="28">
  <si>
    <t>YEAR</t>
  </si>
  <si>
    <t>PARO</t>
  </si>
  <si>
    <t>ACTIVITY RATE</t>
  </si>
  <si>
    <t>year</t>
  </si>
  <si>
    <t>horas trabajadas</t>
  </si>
  <si>
    <t>absentismo enf, accidente</t>
  </si>
  <si>
    <t>absentismo total</t>
  </si>
  <si>
    <t>tipo</t>
  </si>
  <si>
    <t>resultado</t>
  </si>
  <si>
    <t>corta_duracion</t>
  </si>
  <si>
    <t>larga_duracion</t>
  </si>
  <si>
    <t>coste laboral</t>
  </si>
  <si>
    <t>horas habitualmente trabajadas</t>
  </si>
  <si>
    <t>tasa_paro</t>
  </si>
  <si>
    <t>tasa_actividad</t>
  </si>
  <si>
    <t>horas_trabajadas</t>
  </si>
  <si>
    <t>absentismo_enf_acc</t>
  </si>
  <si>
    <t>absentismo_total</t>
  </si>
  <si>
    <t>parados_corta_dur</t>
  </si>
  <si>
    <t>parados_larga_dur</t>
  </si>
  <si>
    <t>horas_hab_trabajadas</t>
  </si>
  <si>
    <t>coste_laboral</t>
  </si>
  <si>
    <t>ocupados</t>
  </si>
  <si>
    <t>Recuento</t>
  </si>
  <si>
    <t>parados_larga_dur_porc</t>
  </si>
  <si>
    <t>parados_corta_dur_porc</t>
  </si>
  <si>
    <t>absentismo_enf_ocupados</t>
  </si>
  <si>
    <t>absentismo_total_ocupados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</si>
</sst>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6" xr16:uid="{1E19D665-A606-E144-A866-670076BBD558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Recuen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D01B4197-292C-AA41-930B-E2251DC35888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Recuen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CACF197-F305-4840-B04A-512D1F6C9957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coste labora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306591A2-0305-C64F-8B52-8E6CFD83E397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horas trabajada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7" xr16:uid="{880123FC-C1DA-E040-9498-6D3E4C8121F3}" autoFormatId="16" applyNumberFormats="0" applyBorderFormats="0" applyFontFormats="0" applyPatternFormats="0" applyAlignmentFormats="0" applyWidthHeightFormats="0">
  <queryTableRefresh nextId="6">
    <queryTableFields count="3">
      <queryTableField id="1" name="year" tableColumnId="1"/>
      <queryTableField id="4" name="tipo" tableColumnId="2"/>
      <queryTableField id="3" name="resultado" tableColumnId="3"/>
    </queryTableFields>
    <queryTableDeletedFields count="1">
      <deletedField name="tipo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738827C0-D8A4-E342-A362-0B29F3523D22}" autoFormatId="16" applyNumberFormats="0" applyBorderFormats="0" applyFontFormats="0" applyPatternFormats="0" applyAlignmentFormats="0" applyWidthHeightFormats="0">
  <queryTableRefresh nextId="6">
    <queryTableFields count="3">
      <queryTableField id="1" name="year" tableColumnId="1"/>
      <queryTableField id="4" name="tipo" tableColumnId="2"/>
      <queryTableField id="3" name="resultado" tableColumnId="3"/>
    </queryTableFields>
    <queryTableDeletedFields count="1">
      <deletedField name="tipo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F75E15-98D3-C848-8740-66112FDCDAF9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bsentismo total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1551DAB4-B609-3746-81EE-E1013725E44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bsentismo enf, accident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2D17D37-00A9-7444-B3BD-CFB1969B607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CTIVITY RAT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2140A3C8-2EAE-4E41-AB64-475DF8514060}" autoFormatId="16" applyNumberFormats="0" applyBorderFormats="0" applyFontFormats="0" applyPatternFormats="0" applyAlignmentFormats="0" applyWidthHeightFormats="0">
  <queryTableRefresh nextId="4">
    <queryTableFields count="2">
      <queryTableField id="1" name="YEAR" tableColumnId="1"/>
      <queryTableField id="3" name="PARO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3061FED9-720C-4A41-9C46-D4BD5C950D4A}" autoFormatId="16" applyNumberFormats="0" applyBorderFormats="0" applyFontFormats="0" applyPatternFormats="0" applyAlignmentFormats="0" applyWidthHeightFormats="0">
  <queryTableRefresh nextId="33" unboundColumnsRight="4">
    <queryTableFields count="15">
      <queryTableField id="1" name="YEAR" tableColumnId="1"/>
      <queryTableField id="18" name="tasa_paro" tableColumnId="14"/>
      <queryTableField id="19" name="tasa_actividad" tableColumnId="15"/>
      <queryTableField id="20" name="horas_trabajadas" tableColumnId="16"/>
      <queryTableField id="21" name="absentismo_enf_acc" tableColumnId="17"/>
      <queryTableField id="22" name="absentismo_total" tableColumnId="18"/>
      <queryTableField id="23" name="parados_corta_dur" tableColumnId="19"/>
      <queryTableField id="24" name="parados_larga_dur" tableColumnId="20"/>
      <queryTableField id="25" name="horas_hab_trabajadas" tableColumnId="21"/>
      <queryTableField id="26" name="coste_laboral" tableColumnId="22"/>
      <queryTableField id="28" name="Recuento" tableColumnId="3"/>
      <queryTableField id="29" dataBound="0" tableColumnId="4"/>
      <queryTableField id="30" dataBound="0" tableColumnId="5"/>
      <queryTableField id="31" dataBound="0" tableColumnId="6"/>
      <queryTableField id="32" dataBound="0" tableColumnId="7"/>
    </queryTableFields>
    <queryTableDeletedFields count="1">
      <deletedField name="ocupados.1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68F57D63-988F-9B4C-85A1-3583EF6D887A}" autoFormatId="16" applyNumberFormats="0" applyBorderFormats="0" applyFontFormats="0" applyPatternFormats="0" applyAlignmentFormats="0" applyWidthHeightFormats="0">
  <queryTableRefresh nextId="29">
    <queryTableFields count="11">
      <queryTableField id="1" name="YEAR" tableColumnId="1"/>
      <queryTableField id="18" name="tasa_paro" tableColumnId="14"/>
      <queryTableField id="19" name="tasa_actividad" tableColumnId="15"/>
      <queryTableField id="20" name="horas_trabajadas" tableColumnId="16"/>
      <queryTableField id="21" name="absentismo_enf_acc" tableColumnId="17"/>
      <queryTableField id="22" name="absentismo_total" tableColumnId="18"/>
      <queryTableField id="23" name="parados_corta_dur" tableColumnId="19"/>
      <queryTableField id="24" name="parados_larga_dur" tableColumnId="20"/>
      <queryTableField id="25" name="horas_hab_trabajadas" tableColumnId="21"/>
      <queryTableField id="26" name="coste_laboral" tableColumnId="22"/>
      <queryTableField id="28" name="Recuento" tableColumnId="3"/>
    </queryTableFields>
    <queryTableDeletedFields count="1">
      <deletedField name="ocupados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C975758-B8F4-2448-B0E4-704BA1BD6842}" name="Tabla__4" displayName="Tabla__4" ref="A1:B25" tableType="queryTable" totalsRowShown="0">
  <autoFilter ref="A1:B25" xr:uid="{4C975758-B8F4-2448-B0E4-704BA1BD6842}"/>
  <tableColumns count="2">
    <tableColumn id="1" xr3:uid="{5B9C9C7A-06EB-DB47-A75C-CE730216473A}" uniqueName="1" name="YEAR" queryTableFieldId="1"/>
    <tableColumn id="2" xr3:uid="{665BCDCB-66E7-4143-BB3E-5B43999F29C3}" uniqueName="2" name="Recuent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28207F-ABC7-0E42-ABA6-C87CDB1CA7B7}" name="Tabla16" displayName="Tabla16" ref="A1:B25" tableType="queryTable" totalsRowShown="0">
  <autoFilter ref="A1:B25" xr:uid="{3E7415F8-E539-E64E-94B6-0195BF5658B8}"/>
  <tableColumns count="2">
    <tableColumn id="1" xr3:uid="{7EC108BB-D0F8-E944-9A34-1DE1ED58F60B}" uniqueName="1" name="YEAR" queryTableFieldId="1"/>
    <tableColumn id="2" xr3:uid="{8A08A2AE-83CE-0042-831F-E17F6AF5D823}" uniqueName="2" name="Recuent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D7DBCFE-8A50-2943-8924-11F358A278D0}" name="Tabla12" displayName="Tabla12" ref="A1:B19" totalsRowShown="0">
  <autoFilter ref="A1:B19" xr:uid="{A92E2AAB-30AF-1442-8D27-86E5554F2444}"/>
  <tableColumns count="2">
    <tableColumn id="1" xr3:uid="{05774CCB-DB43-1E44-9450-A3FF47272EF9}" name="year"/>
    <tableColumn id="2" xr3:uid="{08549900-F0EC-1247-BA0E-39B2B3832917}" name="horas habitualmente trabajada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8295EE-E354-4344-901A-B2951B5EA01C}" name="coste_laboral" displayName="coste_laboral" ref="A1:B19" tableType="queryTable" totalsRowShown="0">
  <autoFilter ref="A1:B19" xr:uid="{B5EC8C28-6895-AF4E-A4F1-68021580AB14}"/>
  <tableColumns count="2">
    <tableColumn id="1" xr3:uid="{8EA4A7C9-0626-2342-AB24-8F84F1D680AE}" uniqueName="1" name="year" queryTableFieldId="1"/>
    <tableColumn id="2" xr3:uid="{5E9BCDF8-7265-534B-A123-CCBD80004A0B}" uniqueName="2" name="coste laboral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D80C17-05F1-7F4C-8A5B-B150665FDD22}" name="horas_habitualmente" displayName="horas_habitualmente" ref="A1:B19" tableType="queryTable" totalsRowShown="0">
  <autoFilter ref="A1:B19" xr:uid="{A92E2AAB-30AF-1442-8D27-86E5554F2444}"/>
  <tableColumns count="2">
    <tableColumn id="1" xr3:uid="{D0DD40B2-F15A-124D-AD09-DEAC550A9387}" uniqueName="1" name="year" queryTableFieldId="1"/>
    <tableColumn id="2" xr3:uid="{1F9A4FB4-0F5B-EB46-8907-81115F940E4E}" uniqueName="2" name="horas trabajada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709E7E-11FD-C14B-ABE2-B11A136A6BA4}" name="larga_duracion" displayName="larga_duracion" ref="A1:C25" tableType="queryTable" totalsRowShown="0">
  <autoFilter ref="A1:C25" xr:uid="{BBE3EBA9-04F6-D74B-B4F4-C93B77663D6A}"/>
  <tableColumns count="3">
    <tableColumn id="1" xr3:uid="{0386B991-0BFC-4B4A-AC09-622FE8ADA53D}" uniqueName="1" name="year" queryTableFieldId="1"/>
    <tableColumn id="2" xr3:uid="{3C2A3CA0-D1A4-AF45-AC6A-18E5F48C4176}" uniqueName="2" name="tipo" queryTableFieldId="4"/>
    <tableColumn id="3" xr3:uid="{BE8873A5-542A-524A-A12C-C4F19DAE821B}" uniqueName="3" name="resultado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F683CC-9F7C-E246-B748-C5668EC3AF33}" name="corta_duracion" displayName="corta_duracion" ref="A1:C25" tableType="queryTable" totalsRowShown="0">
  <autoFilter ref="A1:C25" xr:uid="{785892F2-D8FF-D44A-8D20-5DABD7F5A5E2}"/>
  <tableColumns count="3">
    <tableColumn id="1" xr3:uid="{0B0D311F-0040-AB41-80B8-2500A1C08A7B}" uniqueName="1" name="year" queryTableFieldId="1"/>
    <tableColumn id="2" xr3:uid="{E2FF7260-EEF9-4147-96B4-D249A3B45733}" uniqueName="2" name="tipo" queryTableFieldId="4"/>
    <tableColumn id="3" xr3:uid="{1D9EC1EB-E35D-7246-8895-01166D5E36C6}" uniqueName="3" name="resultado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D48E3C-FE5F-B14C-85F4-5AB4CB8A7169}" name="absentismo_total" displayName="absentismo_total" ref="A1:B19" tableType="queryTable" totalsRowShown="0">
  <autoFilter ref="A1:B19" xr:uid="{E28784FC-4F71-2343-A1A7-00B84D11523B}"/>
  <tableColumns count="2">
    <tableColumn id="1" xr3:uid="{5C17E0EC-A0A1-0942-9FEC-975A82DA73FE}" uniqueName="1" name="year" queryTableFieldId="1"/>
    <tableColumn id="2" xr3:uid="{6B4A3D07-EFF0-D542-BED0-7FB5B8D5DBD9}" uniqueName="2" name="absentismo total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2608C8-4373-1C4D-A829-86468F40ADB9}" name="enf__accidente" displayName="enf__accidente" ref="A1:B19" tableType="queryTable" totalsRowShown="0">
  <autoFilter ref="A1:B19" xr:uid="{B57B3BB5-0EF6-C34A-A174-B3C3C3F8EEA2}"/>
  <tableColumns count="2">
    <tableColumn id="1" xr3:uid="{1DE50144-7B17-F84C-A9A9-6F927979D364}" uniqueName="1" name="year" queryTableFieldId="1"/>
    <tableColumn id="2" xr3:uid="{99D1C041-FE9B-4546-9E69-F9A79362E9B7}" uniqueName="2" name="absentismo enf, accidente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21BFE-0751-D349-B053-B42A0BF1A928}" name="actividad" displayName="actividad" ref="A1:B25" tableType="queryTable" totalsRowShown="0">
  <autoFilter ref="A1:B25" xr:uid="{CB27A138-8C96-F248-A333-52A12646D645}"/>
  <tableColumns count="2">
    <tableColumn id="1" xr3:uid="{2BA2EDC3-5642-C846-8EA6-9E52B8BA3DEA}" uniqueName="1" name="YEAR" queryTableFieldId="1"/>
    <tableColumn id="2" xr3:uid="{70A8B459-9452-9848-B9FC-C6A28024729E}" uniqueName="2" name="ACTIVITY RATE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2ACEF-41FD-BA41-9AD0-4E8BD04269B3}" name="Tabla4" displayName="Tabla4" ref="A1:B25" tableType="queryTable" totalsRowShown="0">
  <autoFilter ref="A1:B25" xr:uid="{FC04CB56-AE9F-2F4E-8C9B-A1686248C405}"/>
  <tableColumns count="2">
    <tableColumn id="1" xr3:uid="{61303752-7F88-9543-835C-584DEEDB6463}" uniqueName="1" name="YEAR" queryTableFieldId="1"/>
    <tableColumn id="3" xr3:uid="{4C4B2A6F-E0DF-4941-9460-583D00815830}" uniqueName="3" name="PARO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15FBC88-A527-1845-90C4-3F7B54A72BB8}" name="Tabla18" displayName="Tabla18" ref="A1:O25" tableType="queryTable" totalsRowShown="0">
  <autoFilter ref="A1:O25" xr:uid="{FC04CB56-AE9F-2F4E-8C9B-A1686248C405}">
    <filterColumn colId="0">
      <filters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  <filter val="2025"/>
      </filters>
    </filterColumn>
  </autoFilter>
  <sortState xmlns:xlrd2="http://schemas.microsoft.com/office/spreadsheetml/2017/richdata2" ref="A2:K25">
    <sortCondition ref="A1:A25"/>
  </sortState>
  <tableColumns count="15">
    <tableColumn id="1" xr3:uid="{5A58687C-7C99-6C4F-A494-021B2F80B401}" uniqueName="1" name="YEAR" queryTableFieldId="1"/>
    <tableColumn id="14" xr3:uid="{560BFBF2-CC42-B743-8B10-9345229D9307}" uniqueName="14" name="tasa_paro" queryTableFieldId="18"/>
    <tableColumn id="15" xr3:uid="{71B0572A-B280-C74D-A882-4C0A69FF4F87}" uniqueName="15" name="tasa_actividad" queryTableFieldId="19"/>
    <tableColumn id="16" xr3:uid="{A811D0EE-1B1C-0D47-AF25-244E5DB5003A}" uniqueName="16" name="horas_trabajadas" queryTableFieldId="20"/>
    <tableColumn id="17" xr3:uid="{2B24561B-1A9F-E44A-8F1A-4823FF9C79F0}" uniqueName="17" name="absentismo_enf_acc" queryTableFieldId="21"/>
    <tableColumn id="18" xr3:uid="{AD40990C-878F-6941-855E-740DEDBDB2CD}" uniqueName="18" name="absentismo_total" queryTableFieldId="22"/>
    <tableColumn id="19" xr3:uid="{5A89934D-554E-5E46-B72A-B3AB4678E354}" uniqueName="19" name="parados_corta_dur" queryTableFieldId="23"/>
    <tableColumn id="20" xr3:uid="{ACF08E78-CBDA-8A41-9812-F93ED9AFAD64}" uniqueName="20" name="parados_larga_dur" queryTableFieldId="24"/>
    <tableColumn id="21" xr3:uid="{C1E04F0C-B738-834B-9C18-2F4359B08A18}" uniqueName="21" name="horas_hab_trabajadas" queryTableFieldId="25"/>
    <tableColumn id="22" xr3:uid="{2DE29C44-12BB-0C4D-8466-9FF774B3F721}" uniqueName="22" name="coste_laboral" queryTableFieldId="26"/>
    <tableColumn id="3" xr3:uid="{591BF47D-7D38-9742-A638-C04E740FE3CD}" uniqueName="3" name="ocupados" queryTableFieldId="28"/>
    <tableColumn id="4" xr3:uid="{A0AB486C-BF80-A34C-B2A9-62A226A24EFE}" uniqueName="4" name="parados_corta_dur_porc" queryTableFieldId="29" dataDxfId="2">
      <calculatedColumnFormula>Tabla18[[#This Row],[parados_corta_dur]]/(Tabla18[[#This Row],[parados_corta_dur]]+Tabla18[[#This Row],[parados_larga_dur]])</calculatedColumnFormula>
    </tableColumn>
    <tableColumn id="5" xr3:uid="{05BB656C-FB5F-4D4D-A34D-EB776C0B1D45}" uniqueName="5" name="parados_larga_dur_porc" queryTableFieldId="30" dataDxfId="3">
      <calculatedColumnFormula>Tabla18[[#This Row],[parados_larga_dur]]/(Tabla18[[#This Row],[parados_corta_dur]]+Tabla18[[#This Row],[parados_larga_dur]])</calculatedColumnFormula>
    </tableColumn>
    <tableColumn id="6" xr3:uid="{D0DAE946-6FB9-514E-A942-9AD6E7AA6A0E}" uniqueName="6" name="absentismo_enf_ocupados" queryTableFieldId="31" dataDxfId="1">
      <calculatedColumnFormula>Tabla18[[#This Row],[absentismo_total]]</calculatedColumnFormula>
    </tableColumn>
    <tableColumn id="7" xr3:uid="{BF9B15D3-5872-5645-888A-CDDB0672A43D}" uniqueName="7" name="absentismo_total_ocupados" queryTableFieldId="32" dataDxfId="0">
      <calculatedColumnFormula>Tabla18[[#This Row],[absentismo_total]]/Tabla18[[#This Row],[ocupados]]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22E29-C5C8-DF4E-B1A6-805411B3EA13}" name="Tabla" displayName="Tabla" ref="A1:K25" tableType="queryTable" totalsRowShown="0">
  <autoFilter ref="A1:K25" xr:uid="{FC04CB56-AE9F-2F4E-8C9B-A1686248C405}"/>
  <sortState xmlns:xlrd2="http://schemas.microsoft.com/office/spreadsheetml/2017/richdata2" ref="A2:K25">
    <sortCondition ref="A1:A25"/>
  </sortState>
  <tableColumns count="11">
    <tableColumn id="1" xr3:uid="{4F17967A-3926-804A-BCFF-37E5CF1127D3}" uniqueName="1" name="YEAR" queryTableFieldId="1"/>
    <tableColumn id="14" xr3:uid="{8956F93C-C59A-8D4E-9428-2AA2A9E0DEBC}" uniqueName="14" name="tasa_paro" queryTableFieldId="18"/>
    <tableColumn id="15" xr3:uid="{486C1270-DE9A-D242-955C-AFD020739F1A}" uniqueName="15" name="tasa_actividad" queryTableFieldId="19"/>
    <tableColumn id="16" xr3:uid="{4CB452F2-0EA5-D54F-A440-548E4836C657}" uniqueName="16" name="horas_trabajadas" queryTableFieldId="20"/>
    <tableColumn id="17" xr3:uid="{82BD3A05-F8FE-C142-8536-5F08E5AE66F5}" uniqueName="17" name="absentismo_enf_acc" queryTableFieldId="21"/>
    <tableColumn id="18" xr3:uid="{83EDF871-B1AA-B649-AAAE-8624E3AAB32F}" uniqueName="18" name="absentismo_total" queryTableFieldId="22"/>
    <tableColumn id="19" xr3:uid="{E4CDCFBD-2DF7-9A4F-BF7F-AFB3D26595D9}" uniqueName="19" name="parados_corta_dur" queryTableFieldId="23"/>
    <tableColumn id="20" xr3:uid="{426C3867-F36C-1D4C-BB09-32B85C80C787}" uniqueName="20" name="parados_larga_dur" queryTableFieldId="24"/>
    <tableColumn id="21" xr3:uid="{4952A036-5176-784A-9B75-433C5CA96578}" uniqueName="21" name="horas_hab_trabajadas" queryTableFieldId="25"/>
    <tableColumn id="22" xr3:uid="{F5C38A3D-00B5-7940-9701-84897E4673CF}" uniqueName="22" name="coste_laboral" queryTableFieldId="26"/>
    <tableColumn id="3" xr3:uid="{9626A3ED-63DE-6B4C-88B4-AED7AF77BB3E}" uniqueName="3" name="Recuent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D8E1-C036-B34E-B40F-DB5581215649}">
  <dimension ref="A1:B25"/>
  <sheetViews>
    <sheetView workbookViewId="0"/>
  </sheetViews>
  <sheetFormatPr baseColWidth="10" defaultRowHeight="15" x14ac:dyDescent="0.2"/>
  <cols>
    <col min="1" max="1" width="7.6640625" bestFit="1" customWidth="1"/>
    <col min="2" max="2" width="11.1640625" bestFit="1" customWidth="1"/>
  </cols>
  <sheetData>
    <row r="1" spans="1:2" x14ac:dyDescent="0.2">
      <c r="A1" t="s">
        <v>0</v>
      </c>
      <c r="B1" t="s">
        <v>23</v>
      </c>
    </row>
    <row r="2" spans="1:2" x14ac:dyDescent="0.2">
      <c r="A2">
        <v>2025</v>
      </c>
      <c r="B2">
        <v>86414</v>
      </c>
    </row>
    <row r="3" spans="1:2" x14ac:dyDescent="0.2">
      <c r="A3">
        <v>2024</v>
      </c>
      <c r="B3">
        <v>84426</v>
      </c>
    </row>
    <row r="4" spans="1:2" x14ac:dyDescent="0.2">
      <c r="A4">
        <v>2023</v>
      </c>
      <c r="B4">
        <v>82737</v>
      </c>
    </row>
    <row r="5" spans="1:2" x14ac:dyDescent="0.2">
      <c r="A5">
        <v>2022</v>
      </c>
      <c r="B5">
        <v>80305</v>
      </c>
    </row>
    <row r="6" spans="1:2" x14ac:dyDescent="0.2">
      <c r="A6">
        <v>2021</v>
      </c>
      <c r="B6">
        <v>77680</v>
      </c>
    </row>
    <row r="7" spans="1:2" x14ac:dyDescent="0.2">
      <c r="A7">
        <v>2020</v>
      </c>
      <c r="B7">
        <v>75405</v>
      </c>
    </row>
    <row r="8" spans="1:2" x14ac:dyDescent="0.2">
      <c r="A8">
        <v>2019</v>
      </c>
      <c r="B8">
        <v>77670</v>
      </c>
    </row>
    <row r="9" spans="1:2" x14ac:dyDescent="0.2">
      <c r="A9">
        <v>2018</v>
      </c>
      <c r="B9">
        <v>76009</v>
      </c>
    </row>
    <row r="10" spans="1:2" x14ac:dyDescent="0.2">
      <c r="A10">
        <v>2017</v>
      </c>
      <c r="B10">
        <v>74122</v>
      </c>
    </row>
    <row r="11" spans="1:2" x14ac:dyDescent="0.2">
      <c r="A11">
        <v>2016</v>
      </c>
      <c r="B11">
        <v>72347</v>
      </c>
    </row>
    <row r="12" spans="1:2" x14ac:dyDescent="0.2">
      <c r="A12">
        <v>2015</v>
      </c>
      <c r="B12">
        <v>70535</v>
      </c>
    </row>
    <row r="13" spans="1:2" x14ac:dyDescent="0.2">
      <c r="A13">
        <v>2014</v>
      </c>
      <c r="B13">
        <v>68525</v>
      </c>
    </row>
    <row r="14" spans="1:2" x14ac:dyDescent="0.2">
      <c r="A14">
        <v>2013</v>
      </c>
      <c r="B14">
        <v>67709</v>
      </c>
    </row>
    <row r="15" spans="1:2" x14ac:dyDescent="0.2">
      <c r="A15">
        <v>2012</v>
      </c>
      <c r="B15">
        <v>69572</v>
      </c>
    </row>
    <row r="16" spans="1:2" x14ac:dyDescent="0.2">
      <c r="A16">
        <v>2011</v>
      </c>
      <c r="B16">
        <v>72588</v>
      </c>
    </row>
    <row r="17" spans="1:2" x14ac:dyDescent="0.2">
      <c r="A17">
        <v>2010</v>
      </c>
      <c r="B17">
        <v>73689</v>
      </c>
    </row>
    <row r="18" spans="1:2" x14ac:dyDescent="0.2">
      <c r="A18">
        <v>2009</v>
      </c>
      <c r="B18">
        <v>75012</v>
      </c>
    </row>
    <row r="19" spans="1:2" x14ac:dyDescent="0.2">
      <c r="A19">
        <v>2008</v>
      </c>
      <c r="B19">
        <v>79949</v>
      </c>
    </row>
    <row r="20" spans="1:2" x14ac:dyDescent="0.2">
      <c r="A20">
        <v>2007</v>
      </c>
      <c r="B20">
        <v>80158</v>
      </c>
    </row>
    <row r="21" spans="1:2" x14ac:dyDescent="0.2">
      <c r="A21">
        <v>2006</v>
      </c>
      <c r="B21">
        <v>77623</v>
      </c>
    </row>
    <row r="22" spans="1:2" x14ac:dyDescent="0.2">
      <c r="A22">
        <v>2005</v>
      </c>
      <c r="B22">
        <v>74731</v>
      </c>
    </row>
    <row r="23" spans="1:2" x14ac:dyDescent="0.2">
      <c r="A23">
        <v>2004</v>
      </c>
      <c r="B23">
        <v>70783</v>
      </c>
    </row>
    <row r="24" spans="1:2" x14ac:dyDescent="0.2">
      <c r="A24">
        <v>2003</v>
      </c>
      <c r="B24">
        <v>68138</v>
      </c>
    </row>
    <row r="25" spans="1:2" x14ac:dyDescent="0.2">
      <c r="A25">
        <v>2002</v>
      </c>
      <c r="B25">
        <v>65315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F6EB-199F-D64E-832C-0F925E3F5B04}">
  <dimension ref="A1:B25"/>
  <sheetViews>
    <sheetView workbookViewId="0">
      <selection sqref="A1:B25"/>
    </sheetView>
  </sheetViews>
  <sheetFormatPr baseColWidth="10" defaultRowHeight="15" x14ac:dyDescent="0.2"/>
  <cols>
    <col min="1" max="1" width="7.6640625" bestFit="1" customWidth="1"/>
    <col min="2" max="2" width="11.1640625" bestFit="1" customWidth="1"/>
  </cols>
  <sheetData>
    <row r="1" spans="1:2" x14ac:dyDescent="0.2">
      <c r="A1" t="s">
        <v>0</v>
      </c>
      <c r="B1" t="s">
        <v>23</v>
      </c>
    </row>
    <row r="2" spans="1:2" x14ac:dyDescent="0.2">
      <c r="A2">
        <v>2025</v>
      </c>
      <c r="B2">
        <v>86414</v>
      </c>
    </row>
    <row r="3" spans="1:2" x14ac:dyDescent="0.2">
      <c r="A3">
        <v>2024</v>
      </c>
      <c r="B3">
        <v>84426</v>
      </c>
    </row>
    <row r="4" spans="1:2" x14ac:dyDescent="0.2">
      <c r="A4">
        <v>2023</v>
      </c>
      <c r="B4">
        <v>82737</v>
      </c>
    </row>
    <row r="5" spans="1:2" x14ac:dyDescent="0.2">
      <c r="A5">
        <v>2022</v>
      </c>
      <c r="B5">
        <v>80305</v>
      </c>
    </row>
    <row r="6" spans="1:2" x14ac:dyDescent="0.2">
      <c r="A6">
        <v>2021</v>
      </c>
      <c r="B6">
        <v>77680</v>
      </c>
    </row>
    <row r="7" spans="1:2" x14ac:dyDescent="0.2">
      <c r="A7">
        <v>2020</v>
      </c>
      <c r="B7">
        <v>75405</v>
      </c>
    </row>
    <row r="8" spans="1:2" x14ac:dyDescent="0.2">
      <c r="A8">
        <v>2019</v>
      </c>
      <c r="B8">
        <v>77670</v>
      </c>
    </row>
    <row r="9" spans="1:2" x14ac:dyDescent="0.2">
      <c r="A9">
        <v>2018</v>
      </c>
      <c r="B9">
        <v>76009</v>
      </c>
    </row>
    <row r="10" spans="1:2" x14ac:dyDescent="0.2">
      <c r="A10">
        <v>2017</v>
      </c>
      <c r="B10">
        <v>74122</v>
      </c>
    </row>
    <row r="11" spans="1:2" x14ac:dyDescent="0.2">
      <c r="A11">
        <v>2016</v>
      </c>
      <c r="B11">
        <v>72347</v>
      </c>
    </row>
    <row r="12" spans="1:2" x14ac:dyDescent="0.2">
      <c r="A12">
        <v>2015</v>
      </c>
      <c r="B12">
        <v>70535</v>
      </c>
    </row>
    <row r="13" spans="1:2" x14ac:dyDescent="0.2">
      <c r="A13">
        <v>2014</v>
      </c>
      <c r="B13">
        <v>68525</v>
      </c>
    </row>
    <row r="14" spans="1:2" x14ac:dyDescent="0.2">
      <c r="A14">
        <v>2013</v>
      </c>
      <c r="B14">
        <v>67709</v>
      </c>
    </row>
    <row r="15" spans="1:2" x14ac:dyDescent="0.2">
      <c r="A15">
        <v>2012</v>
      </c>
      <c r="B15">
        <v>69572</v>
      </c>
    </row>
    <row r="16" spans="1:2" x14ac:dyDescent="0.2">
      <c r="A16">
        <v>2011</v>
      </c>
      <c r="B16">
        <v>72588</v>
      </c>
    </row>
    <row r="17" spans="1:2" x14ac:dyDescent="0.2">
      <c r="A17">
        <v>2010</v>
      </c>
      <c r="B17">
        <v>73689</v>
      </c>
    </row>
    <row r="18" spans="1:2" x14ac:dyDescent="0.2">
      <c r="A18">
        <v>2009</v>
      </c>
      <c r="B18">
        <v>75012</v>
      </c>
    </row>
    <row r="19" spans="1:2" x14ac:dyDescent="0.2">
      <c r="A19">
        <v>2008</v>
      </c>
      <c r="B19">
        <v>79949</v>
      </c>
    </row>
    <row r="20" spans="1:2" x14ac:dyDescent="0.2">
      <c r="A20">
        <v>2007</v>
      </c>
      <c r="B20">
        <v>80158</v>
      </c>
    </row>
    <row r="21" spans="1:2" x14ac:dyDescent="0.2">
      <c r="A21">
        <v>2006</v>
      </c>
      <c r="B21">
        <v>77623</v>
      </c>
    </row>
    <row r="22" spans="1:2" x14ac:dyDescent="0.2">
      <c r="A22">
        <v>2005</v>
      </c>
      <c r="B22">
        <v>74731</v>
      </c>
    </row>
    <row r="23" spans="1:2" x14ac:dyDescent="0.2">
      <c r="A23">
        <v>2004</v>
      </c>
      <c r="B23">
        <v>70783</v>
      </c>
    </row>
    <row r="24" spans="1:2" x14ac:dyDescent="0.2">
      <c r="A24">
        <v>2003</v>
      </c>
      <c r="B24">
        <v>68138</v>
      </c>
    </row>
    <row r="25" spans="1:2" x14ac:dyDescent="0.2">
      <c r="A25">
        <v>2002</v>
      </c>
      <c r="B25">
        <v>65315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C338-0E96-3D48-BD0F-D00B55CDEF75}">
  <dimension ref="A1:B19"/>
  <sheetViews>
    <sheetView workbookViewId="0">
      <selection activeCell="B2" sqref="B2"/>
    </sheetView>
  </sheetViews>
  <sheetFormatPr baseColWidth="10" defaultRowHeight="15" x14ac:dyDescent="0.2"/>
  <cols>
    <col min="1" max="1" width="7" bestFit="1" customWidth="1"/>
    <col min="2" max="2" width="16" bestFit="1" customWidth="1"/>
  </cols>
  <sheetData>
    <row r="1" spans="1:2" x14ac:dyDescent="0.2">
      <c r="A1" t="s">
        <v>3</v>
      </c>
      <c r="B1" t="s">
        <v>12</v>
      </c>
    </row>
    <row r="2" spans="1:2" x14ac:dyDescent="0.2">
      <c r="A2">
        <v>2025</v>
      </c>
      <c r="B2">
        <v>37.5</v>
      </c>
    </row>
    <row r="3" spans="1:2" x14ac:dyDescent="0.2">
      <c r="A3">
        <v>2024</v>
      </c>
      <c r="B3">
        <v>37.5</v>
      </c>
    </row>
    <row r="4" spans="1:2" x14ac:dyDescent="0.2">
      <c r="A4">
        <v>2023</v>
      </c>
      <c r="B4">
        <v>37.700000000000003</v>
      </c>
    </row>
    <row r="5" spans="1:2" x14ac:dyDescent="0.2">
      <c r="A5">
        <v>2022</v>
      </c>
      <c r="B5">
        <v>37.700000000000003</v>
      </c>
    </row>
    <row r="6" spans="1:2" x14ac:dyDescent="0.2">
      <c r="A6">
        <v>2021</v>
      </c>
      <c r="B6">
        <v>37.4</v>
      </c>
    </row>
    <row r="7" spans="1:2" x14ac:dyDescent="0.2">
      <c r="A7">
        <v>2020</v>
      </c>
      <c r="B7">
        <v>37.4</v>
      </c>
    </row>
    <row r="8" spans="1:2" x14ac:dyDescent="0.2">
      <c r="A8">
        <v>2019</v>
      </c>
      <c r="B8">
        <v>37.4</v>
      </c>
    </row>
    <row r="9" spans="1:2" x14ac:dyDescent="0.2">
      <c r="A9">
        <v>2018</v>
      </c>
      <c r="B9">
        <v>37.6</v>
      </c>
    </row>
    <row r="10" spans="1:2" x14ac:dyDescent="0.2">
      <c r="A10">
        <v>2017</v>
      </c>
      <c r="B10">
        <v>37.6</v>
      </c>
    </row>
    <row r="11" spans="1:2" x14ac:dyDescent="0.2">
      <c r="A11">
        <v>2016</v>
      </c>
      <c r="B11">
        <v>37.6</v>
      </c>
    </row>
    <row r="12" spans="1:2" x14ac:dyDescent="0.2">
      <c r="A12">
        <v>2015</v>
      </c>
      <c r="B12">
        <v>37.700000000000003</v>
      </c>
    </row>
    <row r="13" spans="1:2" x14ac:dyDescent="0.2">
      <c r="A13">
        <v>2014</v>
      </c>
      <c r="B13">
        <v>37.799999999999997</v>
      </c>
    </row>
    <row r="14" spans="1:2" x14ac:dyDescent="0.2">
      <c r="A14">
        <v>2013</v>
      </c>
      <c r="B14">
        <v>37.9</v>
      </c>
    </row>
    <row r="15" spans="1:2" x14ac:dyDescent="0.2">
      <c r="A15">
        <v>2012</v>
      </c>
      <c r="B15">
        <v>38</v>
      </c>
    </row>
    <row r="16" spans="1:2" x14ac:dyDescent="0.2">
      <c r="A16">
        <v>2011</v>
      </c>
      <c r="B16">
        <v>38.299999999999997</v>
      </c>
    </row>
    <row r="17" spans="1:2" x14ac:dyDescent="0.2">
      <c r="A17">
        <v>2010</v>
      </c>
      <c r="B17">
        <v>38.5</v>
      </c>
    </row>
    <row r="18" spans="1:2" x14ac:dyDescent="0.2">
      <c r="A18">
        <v>2009</v>
      </c>
      <c r="B18">
        <v>38.6</v>
      </c>
    </row>
    <row r="19" spans="1:2" x14ac:dyDescent="0.2">
      <c r="A19">
        <v>2008</v>
      </c>
      <c r="B19">
        <v>38.9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0264-ED8C-124A-8CF0-BE85C6AC9802}">
  <dimension ref="A1:B19"/>
  <sheetViews>
    <sheetView workbookViewId="0"/>
  </sheetViews>
  <sheetFormatPr baseColWidth="10" defaultRowHeight="15" x14ac:dyDescent="0.2"/>
  <cols>
    <col min="1" max="1" width="7" bestFit="1" customWidth="1"/>
    <col min="2" max="2" width="13.5" bestFit="1" customWidth="1"/>
  </cols>
  <sheetData>
    <row r="1" spans="1:2" x14ac:dyDescent="0.2">
      <c r="A1" t="s">
        <v>3</v>
      </c>
      <c r="B1" t="s">
        <v>11</v>
      </c>
    </row>
    <row r="2" spans="1:2" x14ac:dyDescent="0.2">
      <c r="A2">
        <v>2025</v>
      </c>
      <c r="B2">
        <v>25.03</v>
      </c>
    </row>
    <row r="3" spans="1:2" x14ac:dyDescent="0.2">
      <c r="A3">
        <v>2024</v>
      </c>
      <c r="B3">
        <v>24.13</v>
      </c>
    </row>
    <row r="4" spans="1:2" x14ac:dyDescent="0.2">
      <c r="A4">
        <v>2023</v>
      </c>
      <c r="B4">
        <v>23.21</v>
      </c>
    </row>
    <row r="5" spans="1:2" x14ac:dyDescent="0.2">
      <c r="A5">
        <v>2022</v>
      </c>
      <c r="B5">
        <v>21.99</v>
      </c>
    </row>
    <row r="6" spans="1:2" x14ac:dyDescent="0.2">
      <c r="A6">
        <v>2021</v>
      </c>
      <c r="B6">
        <v>21.49</v>
      </c>
    </row>
    <row r="7" spans="1:2" x14ac:dyDescent="0.2">
      <c r="A7">
        <v>2020</v>
      </c>
      <c r="B7">
        <v>21.62</v>
      </c>
    </row>
    <row r="8" spans="1:2" x14ac:dyDescent="0.2">
      <c r="A8">
        <v>2019</v>
      </c>
      <c r="B8">
        <v>20.5</v>
      </c>
    </row>
    <row r="9" spans="1:2" x14ac:dyDescent="0.2">
      <c r="A9">
        <v>2018</v>
      </c>
      <c r="B9">
        <v>20.05</v>
      </c>
    </row>
    <row r="10" spans="1:2" x14ac:dyDescent="0.2">
      <c r="A10">
        <v>2017</v>
      </c>
      <c r="B10">
        <v>19.829999999999998</v>
      </c>
    </row>
    <row r="11" spans="1:2" x14ac:dyDescent="0.2">
      <c r="A11">
        <v>2016</v>
      </c>
      <c r="B11">
        <v>19.829999999999998</v>
      </c>
    </row>
    <row r="12" spans="1:2" x14ac:dyDescent="0.2">
      <c r="A12">
        <v>2015</v>
      </c>
      <c r="B12">
        <v>19.899999999999999</v>
      </c>
    </row>
    <row r="13" spans="1:2" x14ac:dyDescent="0.2">
      <c r="A13">
        <v>2014</v>
      </c>
      <c r="B13">
        <v>19.920000000000002</v>
      </c>
    </row>
    <row r="14" spans="1:2" x14ac:dyDescent="0.2">
      <c r="A14">
        <v>2013</v>
      </c>
      <c r="B14">
        <v>19.91</v>
      </c>
    </row>
    <row r="15" spans="1:2" x14ac:dyDescent="0.2">
      <c r="A15">
        <v>2012</v>
      </c>
      <c r="B15">
        <v>19.8</v>
      </c>
    </row>
    <row r="16" spans="1:2" x14ac:dyDescent="0.2">
      <c r="A16">
        <v>2011</v>
      </c>
      <c r="B16">
        <v>19.600000000000001</v>
      </c>
    </row>
    <row r="17" spans="1:2" x14ac:dyDescent="0.2">
      <c r="A17">
        <v>2010</v>
      </c>
      <c r="B17">
        <v>19.149999999999999</v>
      </c>
    </row>
    <row r="18" spans="1:2" x14ac:dyDescent="0.2">
      <c r="A18">
        <v>2009</v>
      </c>
      <c r="B18">
        <v>19.05</v>
      </c>
    </row>
    <row r="19" spans="1:2" x14ac:dyDescent="0.2">
      <c r="A19">
        <v>2008</v>
      </c>
      <c r="B19">
        <v>18.010000000000002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F12C-C6B2-0A49-959C-F4F4C6F41DCA}">
  <dimension ref="A1:B19"/>
  <sheetViews>
    <sheetView workbookViewId="0"/>
  </sheetViews>
  <sheetFormatPr baseColWidth="10" defaultRowHeight="15" x14ac:dyDescent="0.2"/>
  <cols>
    <col min="1" max="1" width="7" bestFit="1" customWidth="1"/>
    <col min="2" max="2" width="16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>
        <v>2025</v>
      </c>
      <c r="B2">
        <v>37.5</v>
      </c>
    </row>
    <row r="3" spans="1:2" x14ac:dyDescent="0.2">
      <c r="A3">
        <v>2024</v>
      </c>
      <c r="B3">
        <v>37.5</v>
      </c>
    </row>
    <row r="4" spans="1:2" x14ac:dyDescent="0.2">
      <c r="A4">
        <v>2023</v>
      </c>
      <c r="B4">
        <v>37.700000000000003</v>
      </c>
    </row>
    <row r="5" spans="1:2" x14ac:dyDescent="0.2">
      <c r="A5">
        <v>2022</v>
      </c>
      <c r="B5">
        <v>37.700000000000003</v>
      </c>
    </row>
    <row r="6" spans="1:2" x14ac:dyDescent="0.2">
      <c r="A6">
        <v>2021</v>
      </c>
      <c r="B6">
        <v>37.4</v>
      </c>
    </row>
    <row r="7" spans="1:2" x14ac:dyDescent="0.2">
      <c r="A7">
        <v>2020</v>
      </c>
      <c r="B7">
        <v>37.4</v>
      </c>
    </row>
    <row r="8" spans="1:2" x14ac:dyDescent="0.2">
      <c r="A8">
        <v>2019</v>
      </c>
      <c r="B8">
        <v>37.4</v>
      </c>
    </row>
    <row r="9" spans="1:2" x14ac:dyDescent="0.2">
      <c r="A9">
        <v>2018</v>
      </c>
      <c r="B9">
        <v>37.6</v>
      </c>
    </row>
    <row r="10" spans="1:2" x14ac:dyDescent="0.2">
      <c r="A10">
        <v>2017</v>
      </c>
      <c r="B10">
        <v>37.6</v>
      </c>
    </row>
    <row r="11" spans="1:2" x14ac:dyDescent="0.2">
      <c r="A11">
        <v>2016</v>
      </c>
      <c r="B11">
        <v>37.6</v>
      </c>
    </row>
    <row r="12" spans="1:2" x14ac:dyDescent="0.2">
      <c r="A12">
        <v>2015</v>
      </c>
      <c r="B12">
        <v>37.700000000000003</v>
      </c>
    </row>
    <row r="13" spans="1:2" x14ac:dyDescent="0.2">
      <c r="A13">
        <v>2014</v>
      </c>
      <c r="B13">
        <v>37.799999999999997</v>
      </c>
    </row>
    <row r="14" spans="1:2" x14ac:dyDescent="0.2">
      <c r="A14">
        <v>2013</v>
      </c>
      <c r="B14">
        <v>37.9</v>
      </c>
    </row>
    <row r="15" spans="1:2" x14ac:dyDescent="0.2">
      <c r="A15">
        <v>2012</v>
      </c>
      <c r="B15">
        <v>38</v>
      </c>
    </row>
    <row r="16" spans="1:2" x14ac:dyDescent="0.2">
      <c r="A16">
        <v>2011</v>
      </c>
      <c r="B16">
        <v>38.299999999999997</v>
      </c>
    </row>
    <row r="17" spans="1:2" x14ac:dyDescent="0.2">
      <c r="A17">
        <v>2010</v>
      </c>
      <c r="B17">
        <v>38.5</v>
      </c>
    </row>
    <row r="18" spans="1:2" x14ac:dyDescent="0.2">
      <c r="A18">
        <v>2009</v>
      </c>
      <c r="B18">
        <v>38.6</v>
      </c>
    </row>
    <row r="19" spans="1:2" x14ac:dyDescent="0.2">
      <c r="A19">
        <v>2008</v>
      </c>
      <c r="B19">
        <v>38.9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B5E8-6DD2-2747-B2FB-E98954ED96A3}">
  <dimension ref="A1:C25"/>
  <sheetViews>
    <sheetView workbookViewId="0">
      <selection activeCell="D10" sqref="D10"/>
    </sheetView>
  </sheetViews>
  <sheetFormatPr baseColWidth="10" defaultRowHeight="15" x14ac:dyDescent="0.2"/>
  <cols>
    <col min="1" max="1" width="7" bestFit="1" customWidth="1"/>
    <col min="2" max="2" width="12.5" bestFit="1" customWidth="1"/>
    <col min="3" max="3" width="11" customWidth="1"/>
  </cols>
  <sheetData>
    <row r="1" spans="1:3" x14ac:dyDescent="0.2">
      <c r="A1" t="s">
        <v>3</v>
      </c>
      <c r="B1" t="s">
        <v>7</v>
      </c>
      <c r="C1" t="s">
        <v>8</v>
      </c>
    </row>
    <row r="2" spans="1:3" x14ac:dyDescent="0.2">
      <c r="A2">
        <v>2025</v>
      </c>
      <c r="B2" t="s">
        <v>10</v>
      </c>
      <c r="C2">
        <v>3742</v>
      </c>
    </row>
    <row r="3" spans="1:3" x14ac:dyDescent="0.2">
      <c r="A3">
        <v>2024</v>
      </c>
      <c r="B3" t="s">
        <v>10</v>
      </c>
      <c r="C3">
        <v>4154</v>
      </c>
    </row>
    <row r="4" spans="1:3" x14ac:dyDescent="0.2">
      <c r="A4">
        <v>2023</v>
      </c>
      <c r="B4" t="s">
        <v>10</v>
      </c>
      <c r="C4">
        <v>4641</v>
      </c>
    </row>
    <row r="5" spans="1:3" x14ac:dyDescent="0.2">
      <c r="A5">
        <v>2022</v>
      </c>
      <c r="B5" t="s">
        <v>10</v>
      </c>
      <c r="C5">
        <v>5397</v>
      </c>
    </row>
    <row r="6" spans="1:3" x14ac:dyDescent="0.2">
      <c r="A6">
        <v>2021</v>
      </c>
      <c r="B6" t="s">
        <v>10</v>
      </c>
      <c r="C6">
        <v>6490</v>
      </c>
    </row>
    <row r="7" spans="1:3" x14ac:dyDescent="0.2">
      <c r="A7">
        <v>2020</v>
      </c>
      <c r="B7" t="s">
        <v>10</v>
      </c>
      <c r="C7">
        <v>5257</v>
      </c>
    </row>
    <row r="8" spans="1:3" x14ac:dyDescent="0.2">
      <c r="A8">
        <v>2019</v>
      </c>
      <c r="B8" t="s">
        <v>10</v>
      </c>
      <c r="C8">
        <v>5646</v>
      </c>
    </row>
    <row r="9" spans="1:3" x14ac:dyDescent="0.2">
      <c r="A9">
        <v>2018</v>
      </c>
      <c r="B9" t="s">
        <v>10</v>
      </c>
      <c r="C9">
        <v>6691</v>
      </c>
    </row>
    <row r="10" spans="1:3" x14ac:dyDescent="0.2">
      <c r="A10">
        <v>2017</v>
      </c>
      <c r="B10" t="s">
        <v>10</v>
      </c>
      <c r="C10">
        <v>8098</v>
      </c>
    </row>
    <row r="11" spans="1:3" x14ac:dyDescent="0.2">
      <c r="A11">
        <v>2016</v>
      </c>
      <c r="B11" t="s">
        <v>10</v>
      </c>
      <c r="C11">
        <v>10100</v>
      </c>
    </row>
    <row r="12" spans="1:3" x14ac:dyDescent="0.2">
      <c r="A12">
        <v>2015</v>
      </c>
      <c r="B12" t="s">
        <v>10</v>
      </c>
      <c r="C12">
        <v>12086</v>
      </c>
    </row>
    <row r="13" spans="1:3" x14ac:dyDescent="0.2">
      <c r="A13">
        <v>2014</v>
      </c>
      <c r="B13" t="s">
        <v>10</v>
      </c>
      <c r="C13">
        <v>13600</v>
      </c>
    </row>
    <row r="14" spans="1:3" x14ac:dyDescent="0.2">
      <c r="A14">
        <v>2013</v>
      </c>
      <c r="B14" t="s">
        <v>10</v>
      </c>
      <c r="C14">
        <v>13818</v>
      </c>
    </row>
    <row r="15" spans="1:3" x14ac:dyDescent="0.2">
      <c r="A15">
        <v>2012</v>
      </c>
      <c r="B15" t="s">
        <v>10</v>
      </c>
      <c r="C15">
        <v>11850</v>
      </c>
    </row>
    <row r="16" spans="1:3" x14ac:dyDescent="0.2">
      <c r="A16">
        <v>2011</v>
      </c>
      <c r="B16" t="s">
        <v>10</v>
      </c>
      <c r="C16">
        <v>9394</v>
      </c>
    </row>
    <row r="17" spans="1:3" x14ac:dyDescent="0.2">
      <c r="A17">
        <v>2010</v>
      </c>
      <c r="B17" t="s">
        <v>10</v>
      </c>
      <c r="C17">
        <v>7626</v>
      </c>
    </row>
    <row r="18" spans="1:3" x14ac:dyDescent="0.2">
      <c r="A18">
        <v>2009</v>
      </c>
      <c r="B18" t="s">
        <v>10</v>
      </c>
      <c r="C18">
        <v>4523</v>
      </c>
    </row>
    <row r="19" spans="1:3" x14ac:dyDescent="0.2">
      <c r="A19">
        <v>2008</v>
      </c>
      <c r="B19" t="s">
        <v>10</v>
      </c>
      <c r="C19">
        <v>2111</v>
      </c>
    </row>
    <row r="20" spans="1:3" x14ac:dyDescent="0.2">
      <c r="A20">
        <v>2007</v>
      </c>
      <c r="B20" t="s">
        <v>10</v>
      </c>
      <c r="C20">
        <v>1680</v>
      </c>
    </row>
    <row r="21" spans="1:3" x14ac:dyDescent="0.2">
      <c r="A21">
        <v>2006</v>
      </c>
      <c r="B21" t="s">
        <v>10</v>
      </c>
      <c r="C21">
        <v>1812</v>
      </c>
    </row>
    <row r="22" spans="1:3" x14ac:dyDescent="0.2">
      <c r="A22">
        <v>2005</v>
      </c>
      <c r="B22" t="s">
        <v>10</v>
      </c>
      <c r="C22">
        <v>2142</v>
      </c>
    </row>
    <row r="23" spans="1:3" x14ac:dyDescent="0.2">
      <c r="A23">
        <v>2004</v>
      </c>
      <c r="B23" t="s">
        <v>10</v>
      </c>
      <c r="C23">
        <v>2982</v>
      </c>
    </row>
    <row r="24" spans="1:3" x14ac:dyDescent="0.2">
      <c r="A24">
        <v>2003</v>
      </c>
      <c r="B24" t="s">
        <v>10</v>
      </c>
      <c r="C24">
        <v>3153</v>
      </c>
    </row>
    <row r="25" spans="1:3" x14ac:dyDescent="0.2">
      <c r="A25">
        <v>2002</v>
      </c>
      <c r="B25" t="s">
        <v>10</v>
      </c>
      <c r="C25">
        <v>3047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BFD7-B70D-214D-A02D-B68BDA8647A5}">
  <dimension ref="A1:C25"/>
  <sheetViews>
    <sheetView workbookViewId="0">
      <selection activeCell="B1" sqref="B1:B1048576"/>
    </sheetView>
  </sheetViews>
  <sheetFormatPr baseColWidth="10" defaultRowHeight="15" x14ac:dyDescent="0.2"/>
  <cols>
    <col min="1" max="1" width="7" bestFit="1" customWidth="1"/>
    <col min="2" max="2" width="12.83203125" bestFit="1" customWidth="1"/>
    <col min="3" max="3" width="11" customWidth="1"/>
  </cols>
  <sheetData>
    <row r="1" spans="1:3" x14ac:dyDescent="0.2">
      <c r="A1" t="s">
        <v>3</v>
      </c>
      <c r="B1" t="s">
        <v>7</v>
      </c>
      <c r="C1" t="s">
        <v>8</v>
      </c>
    </row>
    <row r="2" spans="1:3" x14ac:dyDescent="0.2">
      <c r="A2">
        <v>2025</v>
      </c>
      <c r="B2" t="s">
        <v>9</v>
      </c>
      <c r="C2">
        <v>5370</v>
      </c>
    </row>
    <row r="3" spans="1:3" x14ac:dyDescent="0.2">
      <c r="A3">
        <v>2024</v>
      </c>
      <c r="B3" t="s">
        <v>9</v>
      </c>
      <c r="C3">
        <v>5508</v>
      </c>
    </row>
    <row r="4" spans="1:3" x14ac:dyDescent="0.2">
      <c r="A4">
        <v>2023</v>
      </c>
      <c r="B4" t="s">
        <v>9</v>
      </c>
      <c r="C4">
        <v>5694</v>
      </c>
    </row>
    <row r="5" spans="1:3" x14ac:dyDescent="0.2">
      <c r="A5">
        <v>2022</v>
      </c>
      <c r="B5" t="s">
        <v>9</v>
      </c>
      <c r="C5">
        <v>5592</v>
      </c>
    </row>
    <row r="6" spans="1:3" x14ac:dyDescent="0.2">
      <c r="A6">
        <v>2021</v>
      </c>
      <c r="B6" t="s">
        <v>9</v>
      </c>
      <c r="C6">
        <v>6157</v>
      </c>
    </row>
    <row r="7" spans="1:3" x14ac:dyDescent="0.2">
      <c r="A7">
        <v>2020</v>
      </c>
      <c r="B7" t="s">
        <v>9</v>
      </c>
      <c r="C7">
        <v>7105</v>
      </c>
    </row>
    <row r="8" spans="1:3" x14ac:dyDescent="0.2">
      <c r="A8">
        <v>2019</v>
      </c>
      <c r="B8" t="s">
        <v>9</v>
      </c>
      <c r="C8">
        <v>5525</v>
      </c>
    </row>
    <row r="9" spans="1:3" x14ac:dyDescent="0.2">
      <c r="A9">
        <v>2018</v>
      </c>
      <c r="B9" t="s">
        <v>9</v>
      </c>
      <c r="C9">
        <v>5496</v>
      </c>
    </row>
    <row r="10" spans="1:3" x14ac:dyDescent="0.2">
      <c r="A10">
        <v>2017</v>
      </c>
      <c r="B10" t="s">
        <v>9</v>
      </c>
      <c r="C10">
        <v>5800</v>
      </c>
    </row>
    <row r="11" spans="1:3" x14ac:dyDescent="0.2">
      <c r="A11">
        <v>2016</v>
      </c>
      <c r="B11" t="s">
        <v>9</v>
      </c>
      <c r="C11">
        <v>6124</v>
      </c>
    </row>
    <row r="12" spans="1:3" x14ac:dyDescent="0.2">
      <c r="A12">
        <v>2015</v>
      </c>
      <c r="B12" t="s">
        <v>9</v>
      </c>
      <c r="C12">
        <v>6399</v>
      </c>
    </row>
    <row r="13" spans="1:3" x14ac:dyDescent="0.2">
      <c r="A13">
        <v>2014</v>
      </c>
      <c r="B13" t="s">
        <v>9</v>
      </c>
      <c r="C13">
        <v>7116</v>
      </c>
    </row>
    <row r="14" spans="1:3" x14ac:dyDescent="0.2">
      <c r="A14">
        <v>2013</v>
      </c>
      <c r="B14" t="s">
        <v>9</v>
      </c>
      <c r="C14">
        <v>8484</v>
      </c>
    </row>
    <row r="15" spans="1:3" x14ac:dyDescent="0.2">
      <c r="A15">
        <v>2012</v>
      </c>
      <c r="B15" t="s">
        <v>9</v>
      </c>
      <c r="C15">
        <v>9463</v>
      </c>
    </row>
    <row r="16" spans="1:3" x14ac:dyDescent="0.2">
      <c r="A16">
        <v>2011</v>
      </c>
      <c r="B16" t="s">
        <v>9</v>
      </c>
      <c r="C16">
        <v>8733</v>
      </c>
    </row>
    <row r="17" spans="1:3" x14ac:dyDescent="0.2">
      <c r="A17">
        <v>2010</v>
      </c>
      <c r="B17" t="s">
        <v>9</v>
      </c>
      <c r="C17">
        <v>8962</v>
      </c>
    </row>
    <row r="18" spans="1:3" x14ac:dyDescent="0.2">
      <c r="A18">
        <v>2009</v>
      </c>
      <c r="B18" t="s">
        <v>9</v>
      </c>
      <c r="C18">
        <v>10132</v>
      </c>
    </row>
    <row r="19" spans="1:3" x14ac:dyDescent="0.2">
      <c r="A19">
        <v>2008</v>
      </c>
      <c r="B19" t="s">
        <v>9</v>
      </c>
      <c r="C19">
        <v>6412</v>
      </c>
    </row>
    <row r="20" spans="1:3" x14ac:dyDescent="0.2">
      <c r="A20">
        <v>2007</v>
      </c>
      <c r="B20" t="s">
        <v>9</v>
      </c>
      <c r="C20">
        <v>4099</v>
      </c>
    </row>
    <row r="21" spans="1:3" x14ac:dyDescent="0.2">
      <c r="A21">
        <v>2006</v>
      </c>
      <c r="B21" t="s">
        <v>9</v>
      </c>
      <c r="C21">
        <v>4014</v>
      </c>
    </row>
    <row r="22" spans="1:3" x14ac:dyDescent="0.2">
      <c r="A22">
        <v>2005</v>
      </c>
      <c r="B22" t="s">
        <v>9</v>
      </c>
      <c r="C22">
        <v>4163</v>
      </c>
    </row>
    <row r="23" spans="1:3" x14ac:dyDescent="0.2">
      <c r="A23">
        <v>2004</v>
      </c>
      <c r="B23" t="s">
        <v>9</v>
      </c>
      <c r="C23">
        <v>4727</v>
      </c>
    </row>
    <row r="24" spans="1:3" x14ac:dyDescent="0.2">
      <c r="A24">
        <v>2003</v>
      </c>
      <c r="B24" t="s">
        <v>9</v>
      </c>
      <c r="C24">
        <v>4682</v>
      </c>
    </row>
    <row r="25" spans="1:3" x14ac:dyDescent="0.2">
      <c r="A25">
        <v>2002</v>
      </c>
      <c r="B25" t="s">
        <v>9</v>
      </c>
      <c r="C25">
        <v>4467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AF82-3D41-E040-AE31-DBEA91B5524E}">
  <dimension ref="A1:B19"/>
  <sheetViews>
    <sheetView workbookViewId="0">
      <selection activeCell="E32" sqref="E32"/>
    </sheetView>
  </sheetViews>
  <sheetFormatPr baseColWidth="10" defaultRowHeight="15" x14ac:dyDescent="0.2"/>
  <cols>
    <col min="1" max="1" width="7" bestFit="1" customWidth="1"/>
    <col min="2" max="2" width="16.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>
        <v>2025</v>
      </c>
      <c r="B2">
        <v>2627</v>
      </c>
    </row>
    <row r="3" spans="1:2" x14ac:dyDescent="0.2">
      <c r="A3">
        <v>2024</v>
      </c>
      <c r="B3">
        <v>2553</v>
      </c>
    </row>
    <row r="4" spans="1:2" x14ac:dyDescent="0.2">
      <c r="A4">
        <v>2023</v>
      </c>
      <c r="B4">
        <v>2385</v>
      </c>
    </row>
    <row r="5" spans="1:2" x14ac:dyDescent="0.2">
      <c r="A5">
        <v>2022</v>
      </c>
      <c r="B5">
        <v>2326</v>
      </c>
    </row>
    <row r="6" spans="1:2" x14ac:dyDescent="0.2">
      <c r="A6">
        <v>2021</v>
      </c>
      <c r="B6">
        <v>2295</v>
      </c>
    </row>
    <row r="7" spans="1:2" x14ac:dyDescent="0.2">
      <c r="A7">
        <v>2020</v>
      </c>
      <c r="B7">
        <v>3039</v>
      </c>
    </row>
    <row r="8" spans="1:2" x14ac:dyDescent="0.2">
      <c r="A8">
        <v>2019</v>
      </c>
      <c r="B8">
        <v>1706</v>
      </c>
    </row>
    <row r="9" spans="1:2" x14ac:dyDescent="0.2">
      <c r="A9">
        <v>2018</v>
      </c>
      <c r="B9">
        <v>1607</v>
      </c>
    </row>
    <row r="10" spans="1:2" x14ac:dyDescent="0.2">
      <c r="A10">
        <v>2017</v>
      </c>
      <c r="B10">
        <v>1556</v>
      </c>
    </row>
    <row r="11" spans="1:2" x14ac:dyDescent="0.2">
      <c r="A11">
        <v>2016</v>
      </c>
      <c r="B11">
        <v>1446</v>
      </c>
    </row>
    <row r="12" spans="1:2" x14ac:dyDescent="0.2">
      <c r="A12">
        <v>2015</v>
      </c>
      <c r="B12">
        <v>1376</v>
      </c>
    </row>
    <row r="13" spans="1:2" x14ac:dyDescent="0.2">
      <c r="A13">
        <v>2014</v>
      </c>
      <c r="B13">
        <v>1363</v>
      </c>
    </row>
    <row r="14" spans="1:2" x14ac:dyDescent="0.2">
      <c r="A14">
        <v>2013</v>
      </c>
      <c r="B14">
        <v>1393</v>
      </c>
    </row>
    <row r="15" spans="1:2" x14ac:dyDescent="0.2">
      <c r="A15">
        <v>2012</v>
      </c>
      <c r="B15">
        <v>1440</v>
      </c>
    </row>
    <row r="16" spans="1:2" x14ac:dyDescent="0.2">
      <c r="A16">
        <v>2011</v>
      </c>
      <c r="B16">
        <v>1507</v>
      </c>
    </row>
    <row r="17" spans="1:2" x14ac:dyDescent="0.2">
      <c r="A17">
        <v>2010</v>
      </c>
      <c r="B17">
        <v>1641</v>
      </c>
    </row>
    <row r="18" spans="1:2" x14ac:dyDescent="0.2">
      <c r="A18">
        <v>2009</v>
      </c>
      <c r="B18">
        <v>1715</v>
      </c>
    </row>
    <row r="19" spans="1:2" x14ac:dyDescent="0.2">
      <c r="A19">
        <v>2008</v>
      </c>
      <c r="B19">
        <v>1846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1AFA-C3EC-EA47-BF32-433DA92E0D36}">
  <dimension ref="A1:B19"/>
  <sheetViews>
    <sheetView workbookViewId="0">
      <selection activeCell="D14" sqref="D10:D14"/>
    </sheetView>
  </sheetViews>
  <sheetFormatPr baseColWidth="10" defaultRowHeight="15" x14ac:dyDescent="0.2"/>
  <cols>
    <col min="1" max="1" width="7" bestFit="1" customWidth="1"/>
    <col min="2" max="2" width="24.1640625" bestFit="1" customWidth="1"/>
  </cols>
  <sheetData>
    <row r="1" spans="1:2" x14ac:dyDescent="0.2">
      <c r="A1" t="s">
        <v>3</v>
      </c>
      <c r="B1" t="s">
        <v>5</v>
      </c>
    </row>
    <row r="2" spans="1:2" x14ac:dyDescent="0.2">
      <c r="A2">
        <v>2025</v>
      </c>
      <c r="B2">
        <v>1005</v>
      </c>
    </row>
    <row r="3" spans="1:2" x14ac:dyDescent="0.2">
      <c r="A3">
        <v>2024</v>
      </c>
      <c r="B3">
        <v>957</v>
      </c>
    </row>
    <row r="4" spans="1:2" x14ac:dyDescent="0.2">
      <c r="A4">
        <v>2023</v>
      </c>
      <c r="B4">
        <v>861</v>
      </c>
    </row>
    <row r="5" spans="1:2" x14ac:dyDescent="0.2">
      <c r="A5">
        <v>2022</v>
      </c>
      <c r="B5">
        <v>843</v>
      </c>
    </row>
    <row r="6" spans="1:2" x14ac:dyDescent="0.2">
      <c r="A6">
        <v>2021</v>
      </c>
      <c r="B6">
        <v>776</v>
      </c>
    </row>
    <row r="7" spans="1:2" x14ac:dyDescent="0.2">
      <c r="A7">
        <v>2020</v>
      </c>
      <c r="B7">
        <v>703</v>
      </c>
    </row>
    <row r="8" spans="1:2" x14ac:dyDescent="0.2">
      <c r="A8">
        <v>2019</v>
      </c>
      <c r="B8">
        <v>535</v>
      </c>
    </row>
    <row r="9" spans="1:2" x14ac:dyDescent="0.2">
      <c r="A9">
        <v>2018</v>
      </c>
      <c r="B9">
        <v>498</v>
      </c>
    </row>
    <row r="10" spans="1:2" x14ac:dyDescent="0.2">
      <c r="A10">
        <v>2017</v>
      </c>
      <c r="B10">
        <v>456</v>
      </c>
    </row>
    <row r="11" spans="1:2" x14ac:dyDescent="0.2">
      <c r="A11">
        <v>2016</v>
      </c>
      <c r="B11">
        <v>420</v>
      </c>
    </row>
    <row r="12" spans="1:2" x14ac:dyDescent="0.2">
      <c r="A12">
        <v>2015</v>
      </c>
      <c r="B12">
        <v>385</v>
      </c>
    </row>
    <row r="13" spans="1:2" x14ac:dyDescent="0.2">
      <c r="A13">
        <v>2014</v>
      </c>
      <c r="B13">
        <v>353</v>
      </c>
    </row>
    <row r="14" spans="1:2" x14ac:dyDescent="0.2">
      <c r="A14">
        <v>2013</v>
      </c>
      <c r="B14">
        <v>340</v>
      </c>
    </row>
    <row r="15" spans="1:2" x14ac:dyDescent="0.2">
      <c r="A15">
        <v>2012</v>
      </c>
      <c r="B15">
        <v>347</v>
      </c>
    </row>
    <row r="16" spans="1:2" x14ac:dyDescent="0.2">
      <c r="A16">
        <v>2011</v>
      </c>
      <c r="B16">
        <v>407</v>
      </c>
    </row>
    <row r="17" spans="1:2" x14ac:dyDescent="0.2">
      <c r="A17">
        <v>2010</v>
      </c>
      <c r="B17">
        <v>434</v>
      </c>
    </row>
    <row r="18" spans="1:2" x14ac:dyDescent="0.2">
      <c r="A18">
        <v>2009</v>
      </c>
      <c r="B18">
        <v>459</v>
      </c>
    </row>
    <row r="19" spans="1:2" x14ac:dyDescent="0.2">
      <c r="A19">
        <v>2008</v>
      </c>
      <c r="B19">
        <v>518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37C8-A487-614A-93D6-C5CD1198C956}">
  <dimension ref="A1:B16"/>
  <sheetViews>
    <sheetView workbookViewId="0"/>
  </sheetViews>
  <sheetFormatPr baseColWidth="10" defaultRowHeight="15" x14ac:dyDescent="0.2"/>
  <cols>
    <col min="1" max="1" width="7" bestFit="1" customWidth="1"/>
    <col min="2" max="2" width="16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>
        <v>2025</v>
      </c>
      <c r="B2">
        <v>31.725000000000001</v>
      </c>
    </row>
    <row r="3" spans="1:2" x14ac:dyDescent="0.2">
      <c r="A3">
        <v>2024</v>
      </c>
      <c r="B3">
        <v>31.875</v>
      </c>
    </row>
    <row r="4" spans="1:2" x14ac:dyDescent="0.2">
      <c r="A4">
        <v>2023</v>
      </c>
      <c r="B4">
        <v>32.024999999999999</v>
      </c>
    </row>
    <row r="5" spans="1:2" x14ac:dyDescent="0.2">
      <c r="A5">
        <v>2022</v>
      </c>
      <c r="B5">
        <v>32.125</v>
      </c>
    </row>
    <row r="6" spans="1:2" x14ac:dyDescent="0.2">
      <c r="A6">
        <v>2021</v>
      </c>
      <c r="B6">
        <v>31.774999999999999</v>
      </c>
    </row>
    <row r="7" spans="1:2" x14ac:dyDescent="0.2">
      <c r="A7">
        <v>2020</v>
      </c>
      <c r="B7">
        <v>30.35</v>
      </c>
    </row>
    <row r="8" spans="1:2" x14ac:dyDescent="0.2">
      <c r="A8">
        <v>2019</v>
      </c>
      <c r="B8">
        <v>33.5</v>
      </c>
    </row>
    <row r="9" spans="1:2" x14ac:dyDescent="0.2">
      <c r="A9">
        <v>2018</v>
      </c>
      <c r="B9">
        <v>33.875</v>
      </c>
    </row>
    <row r="10" spans="1:2" x14ac:dyDescent="0.2">
      <c r="A10">
        <v>2017</v>
      </c>
      <c r="B10">
        <v>33.65</v>
      </c>
    </row>
    <row r="11" spans="1:2" x14ac:dyDescent="0.2">
      <c r="A11">
        <v>2016</v>
      </c>
      <c r="B11">
        <v>34</v>
      </c>
    </row>
    <row r="12" spans="1:2" x14ac:dyDescent="0.2">
      <c r="A12">
        <v>2015</v>
      </c>
      <c r="B12">
        <v>34.075000000000003</v>
      </c>
    </row>
    <row r="13" spans="1:2" x14ac:dyDescent="0.2">
      <c r="A13">
        <v>2014</v>
      </c>
      <c r="B13">
        <v>34.075000000000003</v>
      </c>
    </row>
    <row r="14" spans="1:2" x14ac:dyDescent="0.2">
      <c r="A14">
        <v>2013</v>
      </c>
      <c r="B14">
        <v>34.049999999999997</v>
      </c>
    </row>
    <row r="15" spans="1:2" x14ac:dyDescent="0.2">
      <c r="A15">
        <v>2012</v>
      </c>
      <c r="B15">
        <v>34.075000000000003</v>
      </c>
    </row>
    <row r="16" spans="1:2" x14ac:dyDescent="0.2">
      <c r="A16">
        <v>2011</v>
      </c>
      <c r="B16">
        <v>34.4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4C14-27F4-9949-8B34-63BAA439FAE1}">
  <dimension ref="A1:B25"/>
  <sheetViews>
    <sheetView workbookViewId="0">
      <selection activeCell="F19" sqref="F19"/>
    </sheetView>
  </sheetViews>
  <sheetFormatPr baseColWidth="10" defaultRowHeight="15" x14ac:dyDescent="0.2"/>
  <cols>
    <col min="1" max="1" width="7.6640625" bestFit="1" customWidth="1"/>
    <col min="2" max="2" width="14.8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2025</v>
      </c>
      <c r="B2">
        <v>80.11</v>
      </c>
    </row>
    <row r="3" spans="1:2" x14ac:dyDescent="0.2">
      <c r="A3">
        <v>2024</v>
      </c>
      <c r="B3">
        <v>79.510000000000005</v>
      </c>
    </row>
    <row r="4" spans="1:2" x14ac:dyDescent="0.2">
      <c r="A4">
        <v>2023</v>
      </c>
      <c r="B4">
        <v>79.28</v>
      </c>
    </row>
    <row r="5" spans="1:2" x14ac:dyDescent="0.2">
      <c r="A5">
        <v>2022</v>
      </c>
      <c r="B5">
        <v>78.459999999999994</v>
      </c>
    </row>
    <row r="6" spans="1:2" x14ac:dyDescent="0.2">
      <c r="A6">
        <v>2021</v>
      </c>
      <c r="B6">
        <v>77.91</v>
      </c>
    </row>
    <row r="7" spans="1:2" x14ac:dyDescent="0.2">
      <c r="A7">
        <v>2020</v>
      </c>
      <c r="B7">
        <v>76.25</v>
      </c>
    </row>
    <row r="8" spans="1:2" x14ac:dyDescent="0.2">
      <c r="A8">
        <v>2019</v>
      </c>
      <c r="B8">
        <v>77.48</v>
      </c>
    </row>
    <row r="9" spans="1:2" x14ac:dyDescent="0.2">
      <c r="A9">
        <v>2018</v>
      </c>
      <c r="B9">
        <v>77.14</v>
      </c>
    </row>
    <row r="10" spans="1:2" x14ac:dyDescent="0.2">
      <c r="A10">
        <v>2017</v>
      </c>
      <c r="B10">
        <v>77.08</v>
      </c>
    </row>
    <row r="11" spans="1:2" x14ac:dyDescent="0.2">
      <c r="A11">
        <v>2016</v>
      </c>
      <c r="B11">
        <v>77.16</v>
      </c>
    </row>
    <row r="12" spans="1:2" x14ac:dyDescent="0.2">
      <c r="A12">
        <v>2015</v>
      </c>
      <c r="B12">
        <v>76.97</v>
      </c>
    </row>
    <row r="13" spans="1:2" x14ac:dyDescent="0.2">
      <c r="A13">
        <v>2014</v>
      </c>
      <c r="B13">
        <v>76.61</v>
      </c>
    </row>
    <row r="14" spans="1:2" x14ac:dyDescent="0.2">
      <c r="A14">
        <v>2013</v>
      </c>
      <c r="B14">
        <v>76.430000000000007</v>
      </c>
    </row>
    <row r="15" spans="1:2" x14ac:dyDescent="0.2">
      <c r="A15">
        <v>2012</v>
      </c>
      <c r="B15">
        <v>76.31</v>
      </c>
    </row>
    <row r="16" spans="1:2" x14ac:dyDescent="0.2">
      <c r="A16">
        <v>2011</v>
      </c>
      <c r="B16">
        <v>75.8</v>
      </c>
    </row>
    <row r="17" spans="1:2" x14ac:dyDescent="0.2">
      <c r="A17">
        <v>2010</v>
      </c>
      <c r="B17">
        <v>75.28</v>
      </c>
    </row>
    <row r="18" spans="1:2" x14ac:dyDescent="0.2">
      <c r="A18">
        <v>2009</v>
      </c>
      <c r="B18">
        <v>74.69</v>
      </c>
    </row>
    <row r="19" spans="1:2" x14ac:dyDescent="0.2">
      <c r="A19">
        <v>2008</v>
      </c>
      <c r="B19">
        <v>74.06</v>
      </c>
    </row>
    <row r="20" spans="1:2" x14ac:dyDescent="0.2">
      <c r="A20">
        <v>2007</v>
      </c>
      <c r="B20">
        <v>72.930000000000007</v>
      </c>
    </row>
    <row r="21" spans="1:2" x14ac:dyDescent="0.2">
      <c r="A21">
        <v>2006</v>
      </c>
      <c r="B21">
        <v>72.23</v>
      </c>
    </row>
    <row r="22" spans="1:2" x14ac:dyDescent="0.2">
      <c r="A22">
        <v>2005</v>
      </c>
      <c r="B22">
        <v>71.209999999999994</v>
      </c>
    </row>
    <row r="23" spans="1:2" x14ac:dyDescent="0.2">
      <c r="A23">
        <v>2004</v>
      </c>
      <c r="B23">
        <v>70.239999999999995</v>
      </c>
    </row>
    <row r="24" spans="1:2" x14ac:dyDescent="0.2">
      <c r="A24">
        <v>2003</v>
      </c>
      <c r="B24">
        <v>69.34</v>
      </c>
    </row>
    <row r="25" spans="1:2" x14ac:dyDescent="0.2">
      <c r="A25">
        <v>2002</v>
      </c>
      <c r="B25">
        <v>68.02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35ED-D8AA-024E-91D7-0350000A71C4}">
  <dimension ref="A1:B25"/>
  <sheetViews>
    <sheetView workbookViewId="0">
      <selection activeCell="B1" sqref="B1:B1048576"/>
    </sheetView>
  </sheetViews>
  <sheetFormatPr baseColWidth="10" defaultRowHeight="15" x14ac:dyDescent="0.2"/>
  <cols>
    <col min="1" max="1" width="7.6640625" bestFit="1" customWidth="1"/>
    <col min="2" max="2" width="8" bestFit="1" customWidth="1"/>
    <col min="3" max="3" width="1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11.1</v>
      </c>
    </row>
    <row r="3" spans="1:2" x14ac:dyDescent="0.2">
      <c r="A3">
        <v>2024</v>
      </c>
      <c r="B3">
        <v>11.91</v>
      </c>
    </row>
    <row r="4" spans="1:2" x14ac:dyDescent="0.2">
      <c r="A4">
        <v>2023</v>
      </c>
      <c r="B4">
        <v>12.88</v>
      </c>
    </row>
    <row r="5" spans="1:2" x14ac:dyDescent="0.2">
      <c r="A5">
        <v>2022</v>
      </c>
      <c r="B5">
        <v>13.76</v>
      </c>
    </row>
    <row r="6" spans="1:2" x14ac:dyDescent="0.2">
      <c r="A6">
        <v>2021</v>
      </c>
      <c r="B6">
        <v>16.010000000000002</v>
      </c>
    </row>
    <row r="7" spans="1:2" x14ac:dyDescent="0.2">
      <c r="A7">
        <v>2020</v>
      </c>
      <c r="B7">
        <v>16.75</v>
      </c>
    </row>
    <row r="8" spans="1:2" x14ac:dyDescent="0.2">
      <c r="A8">
        <v>2019</v>
      </c>
      <c r="B8">
        <v>15</v>
      </c>
    </row>
    <row r="9" spans="1:2" x14ac:dyDescent="0.2">
      <c r="A9">
        <v>2018</v>
      </c>
      <c r="B9">
        <v>16.16</v>
      </c>
    </row>
    <row r="10" spans="1:2" x14ac:dyDescent="0.2">
      <c r="A10">
        <v>2017</v>
      </c>
      <c r="B10">
        <v>18.2</v>
      </c>
    </row>
    <row r="11" spans="1:2" x14ac:dyDescent="0.2">
      <c r="A11">
        <v>2016</v>
      </c>
      <c r="B11">
        <v>20.79</v>
      </c>
    </row>
    <row r="12" spans="1:2" x14ac:dyDescent="0.2">
      <c r="A12">
        <v>2015</v>
      </c>
      <c r="B12">
        <v>22.98</v>
      </c>
    </row>
    <row r="13" spans="1:2" x14ac:dyDescent="0.2">
      <c r="A13">
        <v>2014</v>
      </c>
      <c r="B13">
        <v>25.29</v>
      </c>
    </row>
    <row r="14" spans="1:2" x14ac:dyDescent="0.2">
      <c r="A14">
        <v>2013</v>
      </c>
      <c r="B14">
        <v>26.64</v>
      </c>
    </row>
    <row r="15" spans="1:2" x14ac:dyDescent="0.2">
      <c r="A15">
        <v>2012</v>
      </c>
      <c r="B15">
        <v>24.96</v>
      </c>
    </row>
    <row r="16" spans="1:2" x14ac:dyDescent="0.2">
      <c r="A16">
        <v>2011</v>
      </c>
      <c r="B16">
        <v>21.22</v>
      </c>
    </row>
    <row r="17" spans="1:2" x14ac:dyDescent="0.2">
      <c r="A17">
        <v>2010</v>
      </c>
      <c r="B17">
        <v>19.36</v>
      </c>
    </row>
    <row r="18" spans="1:2" x14ac:dyDescent="0.2">
      <c r="A18">
        <v>2009</v>
      </c>
      <c r="B18">
        <v>17.09</v>
      </c>
    </row>
    <row r="19" spans="1:2" x14ac:dyDescent="0.2">
      <c r="A19">
        <v>2008</v>
      </c>
      <c r="B19">
        <v>10.47</v>
      </c>
    </row>
    <row r="20" spans="1:2" x14ac:dyDescent="0.2">
      <c r="A20">
        <v>2007</v>
      </c>
      <c r="B20">
        <v>7.71</v>
      </c>
    </row>
    <row r="21" spans="1:2" x14ac:dyDescent="0.2">
      <c r="A21">
        <v>2006</v>
      </c>
      <c r="B21">
        <v>7.75</v>
      </c>
    </row>
    <row r="22" spans="1:2" x14ac:dyDescent="0.2">
      <c r="A22">
        <v>2005</v>
      </c>
      <c r="B22">
        <v>8.43</v>
      </c>
    </row>
    <row r="23" spans="1:2" x14ac:dyDescent="0.2">
      <c r="A23">
        <v>2004</v>
      </c>
      <c r="B23">
        <v>10.14</v>
      </c>
    </row>
    <row r="24" spans="1:2" x14ac:dyDescent="0.2">
      <c r="A24">
        <v>2003</v>
      </c>
      <c r="B24">
        <v>10.38</v>
      </c>
    </row>
    <row r="25" spans="1:2" x14ac:dyDescent="0.2">
      <c r="A25">
        <v>2002</v>
      </c>
      <c r="B25">
        <v>10.38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DA13-FDC1-2444-BFA0-CCC15CFA741E}">
  <dimension ref="A1:O25"/>
  <sheetViews>
    <sheetView tabSelected="1" workbookViewId="0">
      <selection activeCell="J36" sqref="J36"/>
    </sheetView>
  </sheetViews>
  <sheetFormatPr baseColWidth="10" defaultRowHeight="15" x14ac:dyDescent="0.2"/>
  <cols>
    <col min="1" max="1" width="7.6640625" bestFit="1" customWidth="1"/>
    <col min="2" max="2" width="11" bestFit="1" customWidth="1"/>
    <col min="3" max="3" width="14.5" bestFit="1" customWidth="1"/>
    <col min="4" max="4" width="16.5" bestFit="1" customWidth="1"/>
    <col min="5" max="5" width="19.33203125" bestFit="1" customWidth="1"/>
    <col min="6" max="6" width="17" bestFit="1" customWidth="1"/>
    <col min="7" max="7" width="18" bestFit="1" customWidth="1"/>
    <col min="8" max="8" width="17.6640625" bestFit="1" customWidth="1"/>
    <col min="9" max="9" width="20.33203125" bestFit="1" customWidth="1"/>
    <col min="10" max="10" width="14" bestFit="1" customWidth="1"/>
    <col min="11" max="11" width="11.1640625" bestFit="1" customWidth="1"/>
    <col min="12" max="12" width="8" style="1" bestFit="1" customWidth="1"/>
    <col min="13" max="13" width="14.83203125" style="1" bestFit="1" customWidth="1"/>
    <col min="14" max="14" width="17.5" bestFit="1" customWidth="1"/>
    <col min="15" max="15" width="24.1640625" style="1" bestFit="1" customWidth="1"/>
    <col min="16" max="16" width="16.5" bestFit="1" customWidth="1"/>
    <col min="17" max="17" width="21.33203125" bestFit="1" customWidth="1"/>
    <col min="18" max="18" width="21" bestFit="1" customWidth="1"/>
    <col min="19" max="19" width="28.1640625" bestFit="1" customWidth="1"/>
    <col min="20" max="23" width="15" bestFit="1" customWidth="1"/>
    <col min="24" max="24" width="10.6640625" bestFit="1" customWidth="1"/>
  </cols>
  <sheetData>
    <row r="1" spans="1:15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s="1" t="s">
        <v>25</v>
      </c>
      <c r="M1" s="1" t="s">
        <v>24</v>
      </c>
      <c r="N1" t="s">
        <v>26</v>
      </c>
      <c r="O1" s="1" t="s">
        <v>27</v>
      </c>
    </row>
    <row r="2" spans="1:15" hidden="1" x14ac:dyDescent="0.2">
      <c r="A2">
        <v>2002</v>
      </c>
      <c r="B2">
        <v>10.38</v>
      </c>
      <c r="C2">
        <v>68.02</v>
      </c>
      <c r="G2">
        <v>4467</v>
      </c>
      <c r="H2">
        <v>3047</v>
      </c>
      <c r="K2">
        <v>65315</v>
      </c>
      <c r="L2">
        <f>Tabla18[[#This Row],[parados_corta_dur]]/(Tabla18[[#This Row],[parados_corta_dur]]+Tabla18[[#This Row],[parados_larga_dur]])</f>
        <v>0.59449028480170352</v>
      </c>
      <c r="M2">
        <f>Tabla18[[#This Row],[parados_larga_dur]]/(Tabla18[[#This Row],[parados_corta_dur]]+Tabla18[[#This Row],[parados_larga_dur]])</f>
        <v>0.40550971519829654</v>
      </c>
      <c r="N2">
        <f>Tabla18[[#This Row],[absentismo_total]]</f>
        <v>0</v>
      </c>
      <c r="O2" s="2">
        <f>Tabla18[[#This Row],[absentismo_total]]/Tabla18[[#This Row],[ocupados]]</f>
        <v>0</v>
      </c>
    </row>
    <row r="3" spans="1:15" hidden="1" x14ac:dyDescent="0.2">
      <c r="A3">
        <v>2003</v>
      </c>
      <c r="B3">
        <v>10.38</v>
      </c>
      <c r="C3">
        <v>69.34</v>
      </c>
      <c r="G3">
        <v>4682</v>
      </c>
      <c r="H3">
        <v>3153</v>
      </c>
      <c r="K3">
        <v>68138</v>
      </c>
      <c r="L3">
        <f>Tabla18[[#This Row],[parados_corta_dur]]/(Tabla18[[#This Row],[parados_corta_dur]]+Tabla18[[#This Row],[parados_larga_dur]])</f>
        <v>0.59757498404594767</v>
      </c>
      <c r="M3">
        <f>Tabla18[[#This Row],[parados_larga_dur]]/(Tabla18[[#This Row],[parados_corta_dur]]+Tabla18[[#This Row],[parados_larga_dur]])</f>
        <v>0.40242501595405233</v>
      </c>
      <c r="N3">
        <f>Tabla18[[#This Row],[absentismo_total]]</f>
        <v>0</v>
      </c>
      <c r="O3" s="2">
        <f>Tabla18[[#This Row],[absentismo_total]]/Tabla18[[#This Row],[ocupados]]</f>
        <v>0</v>
      </c>
    </row>
    <row r="4" spans="1:15" hidden="1" x14ac:dyDescent="0.2">
      <c r="A4">
        <v>2004</v>
      </c>
      <c r="B4">
        <v>10.14</v>
      </c>
      <c r="C4">
        <v>70.239999999999995</v>
      </c>
      <c r="G4">
        <v>4727</v>
      </c>
      <c r="H4">
        <v>2982</v>
      </c>
      <c r="K4">
        <v>70783</v>
      </c>
      <c r="L4">
        <f>Tabla18[[#This Row],[parados_corta_dur]]/(Tabla18[[#This Row],[parados_corta_dur]]+Tabla18[[#This Row],[parados_larga_dur]])</f>
        <v>0.61317940070047994</v>
      </c>
      <c r="M4">
        <f>Tabla18[[#This Row],[parados_larga_dur]]/(Tabla18[[#This Row],[parados_corta_dur]]+Tabla18[[#This Row],[parados_larga_dur]])</f>
        <v>0.38682059929952006</v>
      </c>
      <c r="N4">
        <f>Tabla18[[#This Row],[absentismo_total]]</f>
        <v>0</v>
      </c>
      <c r="O4" s="2">
        <f>Tabla18[[#This Row],[absentismo_total]]/Tabla18[[#This Row],[ocupados]]</f>
        <v>0</v>
      </c>
    </row>
    <row r="5" spans="1:15" hidden="1" x14ac:dyDescent="0.2">
      <c r="A5">
        <v>2005</v>
      </c>
      <c r="B5">
        <v>8.43</v>
      </c>
      <c r="C5">
        <v>71.209999999999994</v>
      </c>
      <c r="G5">
        <v>4163</v>
      </c>
      <c r="H5">
        <v>2142</v>
      </c>
      <c r="K5">
        <v>74731</v>
      </c>
      <c r="L5">
        <f>Tabla18[[#This Row],[parados_corta_dur]]/(Tabla18[[#This Row],[parados_corta_dur]]+Tabla18[[#This Row],[parados_larga_dur]])</f>
        <v>0.66026962727993654</v>
      </c>
      <c r="M5">
        <f>Tabla18[[#This Row],[parados_larga_dur]]/(Tabla18[[#This Row],[parados_corta_dur]]+Tabla18[[#This Row],[parados_larga_dur]])</f>
        <v>0.33973037272006346</v>
      </c>
      <c r="N5">
        <f>Tabla18[[#This Row],[absentismo_total]]</f>
        <v>0</v>
      </c>
      <c r="O5" s="2">
        <f>Tabla18[[#This Row],[absentismo_total]]/Tabla18[[#This Row],[ocupados]]</f>
        <v>0</v>
      </c>
    </row>
    <row r="6" spans="1:15" hidden="1" x14ac:dyDescent="0.2">
      <c r="A6">
        <v>2006</v>
      </c>
      <c r="B6">
        <v>7.75</v>
      </c>
      <c r="C6">
        <v>72.23</v>
      </c>
      <c r="G6">
        <v>4014</v>
      </c>
      <c r="H6">
        <v>1812</v>
      </c>
      <c r="K6">
        <v>77623</v>
      </c>
      <c r="L6">
        <f>Tabla18[[#This Row],[parados_corta_dur]]/(Tabla18[[#This Row],[parados_corta_dur]]+Tabla18[[#This Row],[parados_larga_dur]])</f>
        <v>0.68898043254376928</v>
      </c>
      <c r="M6">
        <f>Tabla18[[#This Row],[parados_larga_dur]]/(Tabla18[[#This Row],[parados_corta_dur]]+Tabla18[[#This Row],[parados_larga_dur]])</f>
        <v>0.31101956745623072</v>
      </c>
      <c r="N6">
        <f>Tabla18[[#This Row],[absentismo_total]]</f>
        <v>0</v>
      </c>
      <c r="O6" s="2">
        <f>Tabla18[[#This Row],[absentismo_total]]/Tabla18[[#This Row],[ocupados]]</f>
        <v>0</v>
      </c>
    </row>
    <row r="7" spans="1:15" hidden="1" x14ac:dyDescent="0.2">
      <c r="A7">
        <v>2007</v>
      </c>
      <c r="B7">
        <v>7.71</v>
      </c>
      <c r="C7">
        <v>72.930000000000007</v>
      </c>
      <c r="G7">
        <v>4099</v>
      </c>
      <c r="H7">
        <v>1680</v>
      </c>
      <c r="K7">
        <v>80158</v>
      </c>
      <c r="L7">
        <f>Tabla18[[#This Row],[parados_corta_dur]]/(Tabla18[[#This Row],[parados_corta_dur]]+Tabla18[[#This Row],[parados_larga_dur]])</f>
        <v>0.70929226509776777</v>
      </c>
      <c r="M7">
        <f>Tabla18[[#This Row],[parados_larga_dur]]/(Tabla18[[#This Row],[parados_corta_dur]]+Tabla18[[#This Row],[parados_larga_dur]])</f>
        <v>0.29070773490223223</v>
      </c>
      <c r="N7">
        <f>Tabla18[[#This Row],[absentismo_total]]</f>
        <v>0</v>
      </c>
      <c r="O7" s="2">
        <f>Tabla18[[#This Row],[absentismo_total]]/Tabla18[[#This Row],[ocupados]]</f>
        <v>0</v>
      </c>
    </row>
    <row r="8" spans="1:15" hidden="1" x14ac:dyDescent="0.2">
      <c r="A8">
        <v>2008</v>
      </c>
      <c r="B8">
        <v>10.47</v>
      </c>
      <c r="C8">
        <v>74.06</v>
      </c>
      <c r="E8">
        <v>518</v>
      </c>
      <c r="F8">
        <v>1846</v>
      </c>
      <c r="G8">
        <v>6412</v>
      </c>
      <c r="H8">
        <v>2111</v>
      </c>
      <c r="I8">
        <v>38.9</v>
      </c>
      <c r="J8">
        <v>18.010000000000002</v>
      </c>
      <c r="K8">
        <v>79949</v>
      </c>
      <c r="L8">
        <f>Tabla18[[#This Row],[parados_corta_dur]]/(Tabla18[[#This Row],[parados_corta_dur]]+Tabla18[[#This Row],[parados_larga_dur]])</f>
        <v>0.75231725918103953</v>
      </c>
      <c r="M8">
        <f>Tabla18[[#This Row],[parados_larga_dur]]/(Tabla18[[#This Row],[parados_corta_dur]]+Tabla18[[#This Row],[parados_larga_dur]])</f>
        <v>0.24768274081896047</v>
      </c>
      <c r="N8">
        <f>Tabla18[[#This Row],[absentismo_total]]</f>
        <v>1846</v>
      </c>
      <c r="O8" s="2">
        <f>Tabla18[[#This Row],[absentismo_total]]/Tabla18[[#This Row],[ocupados]]</f>
        <v>2.3089719696306396E-2</v>
      </c>
    </row>
    <row r="9" spans="1:15" x14ac:dyDescent="0.2">
      <c r="A9">
        <v>2009</v>
      </c>
      <c r="B9">
        <v>17.09</v>
      </c>
      <c r="C9">
        <v>74.69</v>
      </c>
      <c r="E9">
        <v>459</v>
      </c>
      <c r="F9">
        <v>1715</v>
      </c>
      <c r="G9">
        <v>10132</v>
      </c>
      <c r="H9">
        <v>4523</v>
      </c>
      <c r="I9">
        <v>38.6</v>
      </c>
      <c r="J9">
        <v>19.05</v>
      </c>
      <c r="K9">
        <v>75012</v>
      </c>
      <c r="L9" s="1">
        <f>Tabla18[[#This Row],[parados_corta_dur]]/(Tabla18[[#This Row],[parados_corta_dur]]+Tabla18[[#This Row],[parados_larga_dur]])</f>
        <v>0.69136813374274997</v>
      </c>
      <c r="M9" s="1">
        <f>Tabla18[[#This Row],[parados_larga_dur]]/(Tabla18[[#This Row],[parados_corta_dur]]+Tabla18[[#This Row],[parados_larga_dur]])</f>
        <v>0.30863186625725009</v>
      </c>
      <c r="N9" s="1">
        <f>Tabla18[[#This Row],[absentismo_enf_acc]]/Tabla18[[#This Row],[ocupados]]</f>
        <v>6.1190209566469363E-3</v>
      </c>
      <c r="O9" s="1">
        <f>Tabla18[[#This Row],[absentismo_total]]/Tabla18[[#This Row],[ocupados]]</f>
        <v>2.286300858529302E-2</v>
      </c>
    </row>
    <row r="10" spans="1:15" x14ac:dyDescent="0.2">
      <c r="A10">
        <v>2010</v>
      </c>
      <c r="B10">
        <v>19.36</v>
      </c>
      <c r="C10">
        <v>75.28</v>
      </c>
      <c r="E10">
        <v>434</v>
      </c>
      <c r="F10">
        <v>1641</v>
      </c>
      <c r="G10">
        <v>8962</v>
      </c>
      <c r="H10">
        <v>7626</v>
      </c>
      <c r="I10">
        <v>38.5</v>
      </c>
      <c r="J10">
        <v>19.149999999999999</v>
      </c>
      <c r="K10">
        <v>73689</v>
      </c>
      <c r="L10" s="1">
        <f>Tabla18[[#This Row],[parados_corta_dur]]/(Tabla18[[#This Row],[parados_corta_dur]]+Tabla18[[#This Row],[parados_larga_dur]])</f>
        <v>0.5402700747528334</v>
      </c>
      <c r="M10" s="1">
        <f>Tabla18[[#This Row],[parados_larga_dur]]/(Tabla18[[#This Row],[parados_corta_dur]]+Tabla18[[#This Row],[parados_larga_dur]])</f>
        <v>0.4597299252471666</v>
      </c>
      <c r="N10" s="1">
        <f>Tabla18[[#This Row],[absentismo_enf_acc]]/Tabla18[[#This Row],[ocupados]]</f>
        <v>5.8896171748836325E-3</v>
      </c>
      <c r="O10" s="1">
        <f>Tabla18[[#This Row],[absentismo_total]]/Tabla18[[#This Row],[ocupados]]</f>
        <v>2.2269266783373366E-2</v>
      </c>
    </row>
    <row r="11" spans="1:15" x14ac:dyDescent="0.2">
      <c r="A11">
        <v>2011</v>
      </c>
      <c r="B11">
        <v>21.22</v>
      </c>
      <c r="C11">
        <v>75.8</v>
      </c>
      <c r="D11">
        <v>34.4</v>
      </c>
      <c r="E11">
        <v>407</v>
      </c>
      <c r="F11">
        <v>1507</v>
      </c>
      <c r="G11">
        <v>8733</v>
      </c>
      <c r="H11">
        <v>9394</v>
      </c>
      <c r="I11">
        <v>38.299999999999997</v>
      </c>
      <c r="J11">
        <v>19.600000000000001</v>
      </c>
      <c r="K11">
        <v>72588</v>
      </c>
      <c r="L11" s="1">
        <f>Tabla18[[#This Row],[parados_corta_dur]]/(Tabla18[[#This Row],[parados_corta_dur]]+Tabla18[[#This Row],[parados_larga_dur]])</f>
        <v>0.48176752910023724</v>
      </c>
      <c r="M11" s="1">
        <f>Tabla18[[#This Row],[parados_larga_dur]]/(Tabla18[[#This Row],[parados_corta_dur]]+Tabla18[[#This Row],[parados_larga_dur]])</f>
        <v>0.51823247089976276</v>
      </c>
      <c r="N11" s="1">
        <f>Tabla18[[#This Row],[absentismo_enf_acc]]/Tabla18[[#This Row],[ocupados]]</f>
        <v>5.606987380834298E-3</v>
      </c>
      <c r="O11" s="1">
        <f>Tabla18[[#This Row],[absentismo_total]]/Tabla18[[#This Row],[ocupados]]</f>
        <v>2.0761007329035103E-2</v>
      </c>
    </row>
    <row r="12" spans="1:15" x14ac:dyDescent="0.2">
      <c r="A12">
        <v>2012</v>
      </c>
      <c r="B12">
        <v>24.96</v>
      </c>
      <c r="C12">
        <v>76.31</v>
      </c>
      <c r="D12">
        <v>34.075000000000003</v>
      </c>
      <c r="E12">
        <v>347</v>
      </c>
      <c r="F12">
        <v>1440</v>
      </c>
      <c r="G12">
        <v>9463</v>
      </c>
      <c r="H12">
        <v>11850</v>
      </c>
      <c r="I12">
        <v>38</v>
      </c>
      <c r="J12">
        <v>19.8</v>
      </c>
      <c r="K12">
        <v>69572</v>
      </c>
      <c r="L12" s="1">
        <f>Tabla18[[#This Row],[parados_corta_dur]]/(Tabla18[[#This Row],[parados_corta_dur]]+Tabla18[[#This Row],[parados_larga_dur]])</f>
        <v>0.44400131375217006</v>
      </c>
      <c r="M12" s="1">
        <f>Tabla18[[#This Row],[parados_larga_dur]]/(Tabla18[[#This Row],[parados_corta_dur]]+Tabla18[[#This Row],[parados_larga_dur]])</f>
        <v>0.55599868624783</v>
      </c>
      <c r="N12" s="1">
        <f>Tabla18[[#This Row],[absentismo_enf_acc]]/Tabla18[[#This Row],[ocupados]]</f>
        <v>4.9876387052262402E-3</v>
      </c>
      <c r="O12" s="1">
        <f>Tabla18[[#This Row],[absentismo_total]]/Tabla18[[#This Row],[ocupados]]</f>
        <v>2.0697981946760192E-2</v>
      </c>
    </row>
    <row r="13" spans="1:15" x14ac:dyDescent="0.2">
      <c r="A13">
        <v>2013</v>
      </c>
      <c r="B13">
        <v>26.64</v>
      </c>
      <c r="C13">
        <v>76.430000000000007</v>
      </c>
      <c r="D13">
        <v>34.049999999999997</v>
      </c>
      <c r="E13">
        <v>340</v>
      </c>
      <c r="F13">
        <v>1393</v>
      </c>
      <c r="G13">
        <v>8484</v>
      </c>
      <c r="H13">
        <v>13818</v>
      </c>
      <c r="I13">
        <v>37.9</v>
      </c>
      <c r="J13">
        <v>19.91</v>
      </c>
      <c r="K13">
        <v>67709</v>
      </c>
      <c r="L13" s="1">
        <f>Tabla18[[#This Row],[parados_corta_dur]]/(Tabla18[[#This Row],[parados_corta_dur]]+Tabla18[[#This Row],[parados_larga_dur]])</f>
        <v>0.38041431261770242</v>
      </c>
      <c r="M13" s="1">
        <f>Tabla18[[#This Row],[parados_larga_dur]]/(Tabla18[[#This Row],[parados_corta_dur]]+Tabla18[[#This Row],[parados_larga_dur]])</f>
        <v>0.61958568738229758</v>
      </c>
      <c r="N13" s="1">
        <f>Tabla18[[#This Row],[absentismo_enf_acc]]/Tabla18[[#This Row],[ocupados]]</f>
        <v>5.0214890191850421E-3</v>
      </c>
      <c r="O13" s="1">
        <f>Tabla18[[#This Row],[absentismo_total]]/Tabla18[[#This Row],[ocupados]]</f>
        <v>2.0573335893308127E-2</v>
      </c>
    </row>
    <row r="14" spans="1:15" x14ac:dyDescent="0.2">
      <c r="A14">
        <v>2014</v>
      </c>
      <c r="B14">
        <v>25.29</v>
      </c>
      <c r="C14">
        <v>76.61</v>
      </c>
      <c r="D14">
        <v>34.075000000000003</v>
      </c>
      <c r="E14">
        <v>353</v>
      </c>
      <c r="F14">
        <v>1363</v>
      </c>
      <c r="G14">
        <v>7116</v>
      </c>
      <c r="H14">
        <v>13600</v>
      </c>
      <c r="I14">
        <v>37.799999999999997</v>
      </c>
      <c r="J14">
        <v>19.920000000000002</v>
      </c>
      <c r="K14">
        <v>68525</v>
      </c>
      <c r="L14" s="1">
        <f>Tabla18[[#This Row],[parados_corta_dur]]/(Tabla18[[#This Row],[parados_corta_dur]]+Tabla18[[#This Row],[parados_larga_dur]])</f>
        <v>0.34350260668082644</v>
      </c>
      <c r="M14" s="1">
        <f>Tabla18[[#This Row],[parados_larga_dur]]/(Tabla18[[#This Row],[parados_corta_dur]]+Tabla18[[#This Row],[parados_larga_dur]])</f>
        <v>0.65649739331917356</v>
      </c>
      <c r="N14" s="1">
        <f>Tabla18[[#This Row],[absentismo_enf_acc]]/Tabla18[[#This Row],[ocupados]]</f>
        <v>5.1514045968624588E-3</v>
      </c>
      <c r="O14" s="1">
        <f>Tabla18[[#This Row],[absentismo_total]]/Tabla18[[#This Row],[ocupados]]</f>
        <v>1.9890550893834368E-2</v>
      </c>
    </row>
    <row r="15" spans="1:15" x14ac:dyDescent="0.2">
      <c r="A15">
        <v>2015</v>
      </c>
      <c r="B15">
        <v>22.98</v>
      </c>
      <c r="C15">
        <v>76.97</v>
      </c>
      <c r="D15">
        <v>34.075000000000003</v>
      </c>
      <c r="E15">
        <v>385</v>
      </c>
      <c r="F15">
        <v>1376</v>
      </c>
      <c r="G15">
        <v>6399</v>
      </c>
      <c r="H15">
        <v>12086</v>
      </c>
      <c r="I15">
        <v>37.700000000000003</v>
      </c>
      <c r="J15">
        <v>19.899999999999999</v>
      </c>
      <c r="K15">
        <v>70535</v>
      </c>
      <c r="L15" s="1">
        <f>Tabla18[[#This Row],[parados_corta_dur]]/(Tabla18[[#This Row],[parados_corta_dur]]+Tabla18[[#This Row],[parados_larga_dur]])</f>
        <v>0.34617257235596427</v>
      </c>
      <c r="M15" s="1">
        <f>Tabla18[[#This Row],[parados_larga_dur]]/(Tabla18[[#This Row],[parados_corta_dur]]+Tabla18[[#This Row],[parados_larga_dur]])</f>
        <v>0.65382742764403567</v>
      </c>
      <c r="N15" s="1">
        <f>Tabla18[[#This Row],[absentismo_enf_acc]]/Tabla18[[#This Row],[ocupados]]</f>
        <v>5.4582831218543985E-3</v>
      </c>
      <c r="O15" s="1">
        <f>Tabla18[[#This Row],[absentismo_total]]/Tabla18[[#This Row],[ocupados]]</f>
        <v>1.95080456510952E-2</v>
      </c>
    </row>
    <row r="16" spans="1:15" x14ac:dyDescent="0.2">
      <c r="A16">
        <v>2016</v>
      </c>
      <c r="B16">
        <v>20.79</v>
      </c>
      <c r="C16">
        <v>77.16</v>
      </c>
      <c r="D16">
        <v>34</v>
      </c>
      <c r="E16">
        <v>420</v>
      </c>
      <c r="F16">
        <v>1446</v>
      </c>
      <c r="G16">
        <v>6124</v>
      </c>
      <c r="H16">
        <v>10100</v>
      </c>
      <c r="I16">
        <v>37.6</v>
      </c>
      <c r="J16">
        <v>19.829999999999998</v>
      </c>
      <c r="K16">
        <v>72347</v>
      </c>
      <c r="L16" s="1">
        <f>Tabla18[[#This Row],[parados_corta_dur]]/(Tabla18[[#This Row],[parados_corta_dur]]+Tabla18[[#This Row],[parados_larga_dur]])</f>
        <v>0.37746548323471402</v>
      </c>
      <c r="M16" s="1">
        <f>Tabla18[[#This Row],[parados_larga_dur]]/(Tabla18[[#This Row],[parados_corta_dur]]+Tabla18[[#This Row],[parados_larga_dur]])</f>
        <v>0.62253451676528604</v>
      </c>
      <c r="N16" s="1">
        <f>Tabla18[[#This Row],[absentismo_enf_acc]]/Tabla18[[#This Row],[ocupados]]</f>
        <v>5.8053547486419613E-3</v>
      </c>
      <c r="O16" s="1">
        <f>Tabla18[[#This Row],[absentismo_total]]/Tabla18[[#This Row],[ocupados]]</f>
        <v>1.998700706318161E-2</v>
      </c>
    </row>
    <row r="17" spans="1:15" x14ac:dyDescent="0.2">
      <c r="A17">
        <v>2017</v>
      </c>
      <c r="B17">
        <v>18.2</v>
      </c>
      <c r="C17">
        <v>77.08</v>
      </c>
      <c r="D17">
        <v>33.65</v>
      </c>
      <c r="E17">
        <v>456</v>
      </c>
      <c r="F17">
        <v>1556</v>
      </c>
      <c r="G17">
        <v>5800</v>
      </c>
      <c r="H17">
        <v>8098</v>
      </c>
      <c r="I17">
        <v>37.6</v>
      </c>
      <c r="J17">
        <v>19.829999999999998</v>
      </c>
      <c r="K17">
        <v>74122</v>
      </c>
      <c r="L17" s="1">
        <f>Tabla18[[#This Row],[parados_corta_dur]]/(Tabla18[[#This Row],[parados_corta_dur]]+Tabla18[[#This Row],[parados_larga_dur]])</f>
        <v>0.41732623399050223</v>
      </c>
      <c r="M17" s="1">
        <f>Tabla18[[#This Row],[parados_larga_dur]]/(Tabla18[[#This Row],[parados_corta_dur]]+Tabla18[[#This Row],[parados_larga_dur]])</f>
        <v>0.58267376600949772</v>
      </c>
      <c r="N17" s="1">
        <f>Tabla18[[#This Row],[absentismo_enf_acc]]/Tabla18[[#This Row],[ocupados]]</f>
        <v>6.1520196432907912E-3</v>
      </c>
      <c r="O17" s="1">
        <f>Tabla18[[#This Row],[absentismo_total]]/Tabla18[[#This Row],[ocupados]]</f>
        <v>2.0992417905615068E-2</v>
      </c>
    </row>
    <row r="18" spans="1:15" x14ac:dyDescent="0.2">
      <c r="A18">
        <v>2018</v>
      </c>
      <c r="B18">
        <v>16.16</v>
      </c>
      <c r="C18">
        <v>77.14</v>
      </c>
      <c r="D18">
        <v>33.875</v>
      </c>
      <c r="E18">
        <v>498</v>
      </c>
      <c r="F18">
        <v>1607</v>
      </c>
      <c r="G18">
        <v>5496</v>
      </c>
      <c r="H18">
        <v>6691</v>
      </c>
      <c r="I18">
        <v>37.6</v>
      </c>
      <c r="J18">
        <v>20.05</v>
      </c>
      <c r="K18">
        <v>76009</v>
      </c>
      <c r="L18" s="1">
        <f>Tabla18[[#This Row],[parados_corta_dur]]/(Tabla18[[#This Row],[parados_corta_dur]]+Tabla18[[#This Row],[parados_larga_dur]])</f>
        <v>0.45097234758349058</v>
      </c>
      <c r="M18" s="1">
        <f>Tabla18[[#This Row],[parados_larga_dur]]/(Tabla18[[#This Row],[parados_corta_dur]]+Tabla18[[#This Row],[parados_larga_dur]])</f>
        <v>0.54902765241650942</v>
      </c>
      <c r="N18" s="1">
        <f>Tabla18[[#This Row],[absentismo_enf_acc]]/Tabla18[[#This Row],[ocupados]]</f>
        <v>6.5518557012985302E-3</v>
      </c>
      <c r="O18" s="1">
        <f>Tabla18[[#This Row],[absentismo_total]]/Tabla18[[#This Row],[ocupados]]</f>
        <v>2.1142233156599875E-2</v>
      </c>
    </row>
    <row r="19" spans="1:15" x14ac:dyDescent="0.2">
      <c r="A19">
        <v>2019</v>
      </c>
      <c r="B19">
        <v>15</v>
      </c>
      <c r="C19">
        <v>77.48</v>
      </c>
      <c r="D19">
        <v>33.5</v>
      </c>
      <c r="E19">
        <v>535</v>
      </c>
      <c r="F19">
        <v>1706</v>
      </c>
      <c r="G19">
        <v>5525</v>
      </c>
      <c r="H19">
        <v>5646</v>
      </c>
      <c r="I19">
        <v>37.4</v>
      </c>
      <c r="J19">
        <v>20.5</v>
      </c>
      <c r="K19">
        <v>77670</v>
      </c>
      <c r="L19" s="1">
        <f>Tabla18[[#This Row],[parados_corta_dur]]/(Tabla18[[#This Row],[parados_corta_dur]]+Tabla18[[#This Row],[parados_larga_dur]])</f>
        <v>0.49458419120938141</v>
      </c>
      <c r="M19" s="1">
        <f>Tabla18[[#This Row],[parados_larga_dur]]/(Tabla18[[#This Row],[parados_corta_dur]]+Tabla18[[#This Row],[parados_larga_dur]])</f>
        <v>0.50541580879061854</v>
      </c>
      <c r="N19" s="1">
        <f>Tabla18[[#This Row],[absentismo_enf_acc]]/Tabla18[[#This Row],[ocupados]]</f>
        <v>6.8881163898545129E-3</v>
      </c>
      <c r="O19" s="1">
        <f>Tabla18[[#This Row],[absentismo_total]]/Tabla18[[#This Row],[ocupados]]</f>
        <v>2.1964722544096819E-2</v>
      </c>
    </row>
    <row r="20" spans="1:15" x14ac:dyDescent="0.2">
      <c r="A20">
        <v>2020</v>
      </c>
      <c r="B20">
        <v>16.75</v>
      </c>
      <c r="C20">
        <v>76.25</v>
      </c>
      <c r="D20">
        <v>30.35</v>
      </c>
      <c r="E20">
        <v>703</v>
      </c>
      <c r="F20">
        <v>3039</v>
      </c>
      <c r="G20">
        <v>7105</v>
      </c>
      <c r="H20">
        <v>5257</v>
      </c>
      <c r="I20">
        <v>37.4</v>
      </c>
      <c r="J20">
        <v>21.62</v>
      </c>
      <c r="K20">
        <v>75405</v>
      </c>
      <c r="L20" s="1">
        <f>Tabla18[[#This Row],[parados_corta_dur]]/(Tabla18[[#This Row],[parados_corta_dur]]+Tabla18[[#This Row],[parados_larga_dur]])</f>
        <v>0.57474518686296716</v>
      </c>
      <c r="M20" s="1">
        <f>Tabla18[[#This Row],[parados_larga_dur]]/(Tabla18[[#This Row],[parados_corta_dur]]+Tabla18[[#This Row],[parados_larga_dur]])</f>
        <v>0.42525481313703284</v>
      </c>
      <c r="N20" s="1">
        <f>Tabla18[[#This Row],[absentismo_enf_acc]]/Tabla18[[#This Row],[ocupados]]</f>
        <v>9.3229891916981628E-3</v>
      </c>
      <c r="O20" s="1">
        <f>Tabla18[[#This Row],[absentismo_total]]/Tabla18[[#This Row],[ocupados]]</f>
        <v>4.0302367217028047E-2</v>
      </c>
    </row>
    <row r="21" spans="1:15" x14ac:dyDescent="0.2">
      <c r="A21">
        <v>2021</v>
      </c>
      <c r="B21">
        <v>16.010000000000002</v>
      </c>
      <c r="C21">
        <v>77.91</v>
      </c>
      <c r="D21">
        <v>31.774999999999999</v>
      </c>
      <c r="E21">
        <v>776</v>
      </c>
      <c r="F21">
        <v>2295</v>
      </c>
      <c r="G21">
        <v>6157</v>
      </c>
      <c r="H21">
        <v>6490</v>
      </c>
      <c r="I21">
        <v>37.4</v>
      </c>
      <c r="J21">
        <v>21.49</v>
      </c>
      <c r="K21">
        <v>77680</v>
      </c>
      <c r="L21" s="1">
        <f>Tabla18[[#This Row],[parados_corta_dur]]/(Tabla18[[#This Row],[parados_corta_dur]]+Tabla18[[#This Row],[parados_larga_dur]])</f>
        <v>0.48683482248754645</v>
      </c>
      <c r="M21" s="1">
        <f>Tabla18[[#This Row],[parados_larga_dur]]/(Tabla18[[#This Row],[parados_corta_dur]]+Tabla18[[#This Row],[parados_larga_dur]])</f>
        <v>0.5131651775124535</v>
      </c>
      <c r="N21" s="1">
        <f>Tabla18[[#This Row],[absentismo_enf_acc]]/Tabla18[[#This Row],[ocupados]]</f>
        <v>9.9897013388259518E-3</v>
      </c>
      <c r="O21" s="1">
        <f>Tabla18[[#This Row],[absentismo_total]]/Tabla18[[#This Row],[ocupados]]</f>
        <v>2.9544284243048405E-2</v>
      </c>
    </row>
    <row r="22" spans="1:15" x14ac:dyDescent="0.2">
      <c r="A22">
        <v>2022</v>
      </c>
      <c r="B22">
        <v>13.76</v>
      </c>
      <c r="C22">
        <v>78.459999999999994</v>
      </c>
      <c r="D22">
        <v>32.125</v>
      </c>
      <c r="E22">
        <v>843</v>
      </c>
      <c r="F22">
        <v>2326</v>
      </c>
      <c r="G22">
        <v>5592</v>
      </c>
      <c r="H22">
        <v>5397</v>
      </c>
      <c r="I22">
        <v>37.700000000000003</v>
      </c>
      <c r="J22">
        <v>21.99</v>
      </c>
      <c r="K22">
        <v>80305</v>
      </c>
      <c r="L22" s="1">
        <f>Tabla18[[#This Row],[parados_corta_dur]]/(Tabla18[[#This Row],[parados_corta_dur]]+Tabla18[[#This Row],[parados_larga_dur]])</f>
        <v>0.5088725088725089</v>
      </c>
      <c r="M22" s="1">
        <f>Tabla18[[#This Row],[parados_larga_dur]]/(Tabla18[[#This Row],[parados_corta_dur]]+Tabla18[[#This Row],[parados_larga_dur]])</f>
        <v>0.4911274911274911</v>
      </c>
      <c r="N22" s="1">
        <f>Tabla18[[#This Row],[absentismo_enf_acc]]/Tabla18[[#This Row],[ocupados]]</f>
        <v>1.0497478363738247E-2</v>
      </c>
      <c r="O22" s="1">
        <f>Tabla18[[#This Row],[absentismo_total]]/Tabla18[[#This Row],[ocupados]]</f>
        <v>2.8964572567087978E-2</v>
      </c>
    </row>
    <row r="23" spans="1:15" x14ac:dyDescent="0.2">
      <c r="A23">
        <v>2023</v>
      </c>
      <c r="B23">
        <v>12.88</v>
      </c>
      <c r="C23">
        <v>79.28</v>
      </c>
      <c r="D23">
        <v>32.024999999999999</v>
      </c>
      <c r="E23">
        <v>861</v>
      </c>
      <c r="F23">
        <v>2385</v>
      </c>
      <c r="G23">
        <v>5694</v>
      </c>
      <c r="H23">
        <v>4641</v>
      </c>
      <c r="I23">
        <v>37.700000000000003</v>
      </c>
      <c r="J23">
        <v>23.21</v>
      </c>
      <c r="K23">
        <v>82737</v>
      </c>
      <c r="L23" s="1">
        <f>Tabla18[[#This Row],[parados_corta_dur]]/(Tabla18[[#This Row],[parados_corta_dur]]+Tabla18[[#This Row],[parados_larga_dur]])</f>
        <v>0.55094339622641508</v>
      </c>
      <c r="M23" s="1">
        <f>Tabla18[[#This Row],[parados_larga_dur]]/(Tabla18[[#This Row],[parados_corta_dur]]+Tabla18[[#This Row],[parados_larga_dur]])</f>
        <v>0.44905660377358492</v>
      </c>
      <c r="N23" s="1">
        <f>Tabla18[[#This Row],[absentismo_enf_acc]]/Tabla18[[#This Row],[ocupados]]</f>
        <v>1.0406468689945249E-2</v>
      </c>
      <c r="O23" s="1">
        <f>Tabla18[[#This Row],[absentismo_total]]/Tabla18[[#This Row],[ocupados]]</f>
        <v>2.882628086587621E-2</v>
      </c>
    </row>
    <row r="24" spans="1:15" x14ac:dyDescent="0.2">
      <c r="A24">
        <v>2024</v>
      </c>
      <c r="B24">
        <v>11.91</v>
      </c>
      <c r="C24">
        <v>79.510000000000005</v>
      </c>
      <c r="D24">
        <v>31.875</v>
      </c>
      <c r="E24">
        <v>957</v>
      </c>
      <c r="F24">
        <v>2553</v>
      </c>
      <c r="G24">
        <v>5508</v>
      </c>
      <c r="H24">
        <v>4154</v>
      </c>
      <c r="I24">
        <v>37.5</v>
      </c>
      <c r="J24">
        <v>24.13</v>
      </c>
      <c r="K24">
        <v>84426</v>
      </c>
      <c r="L24" s="1">
        <f>Tabla18[[#This Row],[parados_corta_dur]]/(Tabla18[[#This Row],[parados_corta_dur]]+Tabla18[[#This Row],[parados_larga_dur]])</f>
        <v>0.5700683088387497</v>
      </c>
      <c r="M24" s="1">
        <f>Tabla18[[#This Row],[parados_larga_dur]]/(Tabla18[[#This Row],[parados_corta_dur]]+Tabla18[[#This Row],[parados_larga_dur]])</f>
        <v>0.42993169116125024</v>
      </c>
      <c r="N24" s="1">
        <f>Tabla18[[#This Row],[absentismo_enf_acc]]/Tabla18[[#This Row],[ocupados]]</f>
        <v>1.1335370620424988E-2</v>
      </c>
      <c r="O24" s="1">
        <f>Tabla18[[#This Row],[absentismo_total]]/Tabla18[[#This Row],[ocupados]]</f>
        <v>3.0239499680193304E-2</v>
      </c>
    </row>
    <row r="25" spans="1:15" x14ac:dyDescent="0.2">
      <c r="A25">
        <v>2025</v>
      </c>
      <c r="B25">
        <v>11.1</v>
      </c>
      <c r="C25">
        <v>80.11</v>
      </c>
      <c r="D25">
        <v>31.725000000000001</v>
      </c>
      <c r="E25">
        <v>1005</v>
      </c>
      <c r="F25">
        <v>2627</v>
      </c>
      <c r="G25">
        <v>5370</v>
      </c>
      <c r="H25">
        <v>3742</v>
      </c>
      <c r="I25">
        <v>37.5</v>
      </c>
      <c r="J25">
        <v>25.03</v>
      </c>
      <c r="K25">
        <v>86414</v>
      </c>
      <c r="L25" s="1">
        <f>Tabla18[[#This Row],[parados_corta_dur]]/(Tabla18[[#This Row],[parados_corta_dur]]+Tabla18[[#This Row],[parados_larga_dur]])</f>
        <v>0.58933274802458302</v>
      </c>
      <c r="M25" s="1">
        <f>Tabla18[[#This Row],[parados_larga_dur]]/(Tabla18[[#This Row],[parados_corta_dur]]+Tabla18[[#This Row],[parados_larga_dur]])</f>
        <v>0.41066725197541704</v>
      </c>
      <c r="N25" s="1">
        <f>Tabla18[[#This Row],[absentismo_enf_acc]]/Tabla18[[#This Row],[ocupados]]</f>
        <v>1.1630059943990557E-2</v>
      </c>
      <c r="O25" s="1">
        <f>Tabla18[[#This Row],[absentismo_total]]/Tabla18[[#This Row],[ocupados]]</f>
        <v>3.0400166639664869E-2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D7B7-D363-9B44-B04D-FB1A6BD6532A}">
  <dimension ref="A1:K25"/>
  <sheetViews>
    <sheetView workbookViewId="0">
      <selection activeCell="M16" sqref="M16"/>
    </sheetView>
  </sheetViews>
  <sheetFormatPr baseColWidth="10" defaultRowHeight="15" x14ac:dyDescent="0.2"/>
  <cols>
    <col min="1" max="1" width="7.6640625" bestFit="1" customWidth="1"/>
    <col min="2" max="2" width="11" bestFit="1" customWidth="1"/>
    <col min="3" max="3" width="14.5" bestFit="1" customWidth="1"/>
    <col min="4" max="4" width="16.5" bestFit="1" customWidth="1"/>
    <col min="5" max="5" width="19.33203125" bestFit="1" customWidth="1"/>
    <col min="6" max="6" width="17" bestFit="1" customWidth="1"/>
    <col min="7" max="7" width="18" bestFit="1" customWidth="1"/>
    <col min="8" max="8" width="17.6640625" bestFit="1" customWidth="1"/>
    <col min="9" max="9" width="20.33203125" bestFit="1" customWidth="1"/>
    <col min="10" max="10" width="14" bestFit="1" customWidth="1"/>
    <col min="11" max="11" width="11.1640625" bestFit="1" customWidth="1"/>
    <col min="12" max="12" width="8" bestFit="1" customWidth="1"/>
    <col min="13" max="13" width="14.83203125" bestFit="1" customWidth="1"/>
    <col min="14" max="14" width="17.5" bestFit="1" customWidth="1"/>
    <col min="15" max="15" width="24.1640625" bestFit="1" customWidth="1"/>
    <col min="16" max="16" width="16.5" bestFit="1" customWidth="1"/>
    <col min="17" max="17" width="21.33203125" bestFit="1" customWidth="1"/>
    <col min="18" max="18" width="21" bestFit="1" customWidth="1"/>
    <col min="19" max="19" width="28.1640625" bestFit="1" customWidth="1"/>
    <col min="20" max="23" width="15" bestFit="1" customWidth="1"/>
    <col min="24" max="24" width="10.6640625" bestFit="1" customWidth="1"/>
  </cols>
  <sheetData>
    <row r="1" spans="1:11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23</v>
      </c>
    </row>
    <row r="2" spans="1:11" x14ac:dyDescent="0.2">
      <c r="A2">
        <v>2002</v>
      </c>
      <c r="B2">
        <v>10.38</v>
      </c>
      <c r="C2">
        <v>68.02</v>
      </c>
      <c r="G2">
        <v>4467</v>
      </c>
      <c r="H2">
        <v>3047</v>
      </c>
      <c r="K2">
        <v>65315</v>
      </c>
    </row>
    <row r="3" spans="1:11" x14ac:dyDescent="0.2">
      <c r="A3">
        <v>2003</v>
      </c>
      <c r="B3">
        <v>10.38</v>
      </c>
      <c r="C3">
        <v>69.34</v>
      </c>
      <c r="G3">
        <v>4682</v>
      </c>
      <c r="H3">
        <v>3153</v>
      </c>
      <c r="K3">
        <v>68138</v>
      </c>
    </row>
    <row r="4" spans="1:11" x14ac:dyDescent="0.2">
      <c r="A4">
        <v>2004</v>
      </c>
      <c r="B4">
        <v>10.14</v>
      </c>
      <c r="C4">
        <v>70.239999999999995</v>
      </c>
      <c r="G4">
        <v>4727</v>
      </c>
      <c r="H4">
        <v>2982</v>
      </c>
      <c r="K4">
        <v>70783</v>
      </c>
    </row>
    <row r="5" spans="1:11" x14ac:dyDescent="0.2">
      <c r="A5">
        <v>2005</v>
      </c>
      <c r="B5">
        <v>8.43</v>
      </c>
      <c r="C5">
        <v>71.209999999999994</v>
      </c>
      <c r="G5">
        <v>4163</v>
      </c>
      <c r="H5">
        <v>2142</v>
      </c>
      <c r="K5">
        <v>74731</v>
      </c>
    </row>
    <row r="6" spans="1:11" x14ac:dyDescent="0.2">
      <c r="A6">
        <v>2006</v>
      </c>
      <c r="B6">
        <v>7.75</v>
      </c>
      <c r="C6">
        <v>72.23</v>
      </c>
      <c r="G6">
        <v>4014</v>
      </c>
      <c r="H6">
        <v>1812</v>
      </c>
      <c r="K6">
        <v>77623</v>
      </c>
    </row>
    <row r="7" spans="1:11" x14ac:dyDescent="0.2">
      <c r="A7">
        <v>2007</v>
      </c>
      <c r="B7">
        <v>7.71</v>
      </c>
      <c r="C7">
        <v>72.930000000000007</v>
      </c>
      <c r="G7">
        <v>4099</v>
      </c>
      <c r="H7">
        <v>1680</v>
      </c>
      <c r="K7">
        <v>80158</v>
      </c>
    </row>
    <row r="8" spans="1:11" x14ac:dyDescent="0.2">
      <c r="A8">
        <v>2008</v>
      </c>
      <c r="B8">
        <v>10.47</v>
      </c>
      <c r="C8">
        <v>74.06</v>
      </c>
      <c r="E8">
        <v>518</v>
      </c>
      <c r="F8">
        <v>1846</v>
      </c>
      <c r="G8">
        <v>6412</v>
      </c>
      <c r="H8">
        <v>2111</v>
      </c>
      <c r="I8">
        <v>38.9</v>
      </c>
      <c r="J8">
        <v>18.010000000000002</v>
      </c>
      <c r="K8">
        <v>79949</v>
      </c>
    </row>
    <row r="9" spans="1:11" x14ac:dyDescent="0.2">
      <c r="A9">
        <v>2009</v>
      </c>
      <c r="B9">
        <v>17.09</v>
      </c>
      <c r="C9">
        <v>74.69</v>
      </c>
      <c r="E9">
        <v>459</v>
      </c>
      <c r="F9">
        <v>1715</v>
      </c>
      <c r="G9">
        <v>10132</v>
      </c>
      <c r="H9">
        <v>4523</v>
      </c>
      <c r="I9">
        <v>38.6</v>
      </c>
      <c r="J9">
        <v>19.05</v>
      </c>
      <c r="K9">
        <v>75012</v>
      </c>
    </row>
    <row r="10" spans="1:11" x14ac:dyDescent="0.2">
      <c r="A10">
        <v>2010</v>
      </c>
      <c r="B10">
        <v>19.36</v>
      </c>
      <c r="C10">
        <v>75.28</v>
      </c>
      <c r="E10">
        <v>434</v>
      </c>
      <c r="F10">
        <v>1641</v>
      </c>
      <c r="G10">
        <v>8962</v>
      </c>
      <c r="H10">
        <v>7626</v>
      </c>
      <c r="I10">
        <v>38.5</v>
      </c>
      <c r="J10">
        <v>19.149999999999999</v>
      </c>
      <c r="K10">
        <v>73689</v>
      </c>
    </row>
    <row r="11" spans="1:11" x14ac:dyDescent="0.2">
      <c r="A11">
        <v>2011</v>
      </c>
      <c r="B11">
        <v>21.22</v>
      </c>
      <c r="C11">
        <v>75.8</v>
      </c>
      <c r="D11">
        <v>34.4</v>
      </c>
      <c r="E11">
        <v>407</v>
      </c>
      <c r="F11">
        <v>1507</v>
      </c>
      <c r="G11">
        <v>8733</v>
      </c>
      <c r="H11">
        <v>9394</v>
      </c>
      <c r="I11">
        <v>38.299999999999997</v>
      </c>
      <c r="J11">
        <v>19.600000000000001</v>
      </c>
      <c r="K11">
        <v>72588</v>
      </c>
    </row>
    <row r="12" spans="1:11" x14ac:dyDescent="0.2">
      <c r="A12">
        <v>2012</v>
      </c>
      <c r="B12">
        <v>24.96</v>
      </c>
      <c r="C12">
        <v>76.31</v>
      </c>
      <c r="D12">
        <v>34.075000000000003</v>
      </c>
      <c r="E12">
        <v>347</v>
      </c>
      <c r="F12">
        <v>1440</v>
      </c>
      <c r="G12">
        <v>9463</v>
      </c>
      <c r="H12">
        <v>11850</v>
      </c>
      <c r="I12">
        <v>38</v>
      </c>
      <c r="J12">
        <v>19.8</v>
      </c>
      <c r="K12">
        <v>69572</v>
      </c>
    </row>
    <row r="13" spans="1:11" x14ac:dyDescent="0.2">
      <c r="A13">
        <v>2013</v>
      </c>
      <c r="B13">
        <v>26.64</v>
      </c>
      <c r="C13">
        <v>76.430000000000007</v>
      </c>
      <c r="D13">
        <v>34.049999999999997</v>
      </c>
      <c r="E13">
        <v>340</v>
      </c>
      <c r="F13">
        <v>1393</v>
      </c>
      <c r="G13">
        <v>8484</v>
      </c>
      <c r="H13">
        <v>13818</v>
      </c>
      <c r="I13">
        <v>37.9</v>
      </c>
      <c r="J13">
        <v>19.91</v>
      </c>
      <c r="K13">
        <v>67709</v>
      </c>
    </row>
    <row r="14" spans="1:11" x14ac:dyDescent="0.2">
      <c r="A14">
        <v>2014</v>
      </c>
      <c r="B14">
        <v>25.29</v>
      </c>
      <c r="C14">
        <v>76.61</v>
      </c>
      <c r="D14">
        <v>34.075000000000003</v>
      </c>
      <c r="E14">
        <v>353</v>
      </c>
      <c r="F14">
        <v>1363</v>
      </c>
      <c r="G14">
        <v>7116</v>
      </c>
      <c r="H14">
        <v>13600</v>
      </c>
      <c r="I14">
        <v>37.799999999999997</v>
      </c>
      <c r="J14">
        <v>19.920000000000002</v>
      </c>
      <c r="K14">
        <v>68525</v>
      </c>
    </row>
    <row r="15" spans="1:11" x14ac:dyDescent="0.2">
      <c r="A15">
        <v>2015</v>
      </c>
      <c r="B15">
        <v>22.98</v>
      </c>
      <c r="C15">
        <v>76.97</v>
      </c>
      <c r="D15">
        <v>34.075000000000003</v>
      </c>
      <c r="E15">
        <v>385</v>
      </c>
      <c r="F15">
        <v>1376</v>
      </c>
      <c r="G15">
        <v>6399</v>
      </c>
      <c r="H15">
        <v>12086</v>
      </c>
      <c r="I15">
        <v>37.700000000000003</v>
      </c>
      <c r="J15">
        <v>19.899999999999999</v>
      </c>
      <c r="K15">
        <v>70535</v>
      </c>
    </row>
    <row r="16" spans="1:11" x14ac:dyDescent="0.2">
      <c r="A16">
        <v>2016</v>
      </c>
      <c r="B16">
        <v>20.79</v>
      </c>
      <c r="C16">
        <v>77.16</v>
      </c>
      <c r="D16">
        <v>34</v>
      </c>
      <c r="E16">
        <v>420</v>
      </c>
      <c r="F16">
        <v>1446</v>
      </c>
      <c r="G16">
        <v>6124</v>
      </c>
      <c r="H16">
        <v>10100</v>
      </c>
      <c r="I16">
        <v>37.6</v>
      </c>
      <c r="J16">
        <v>19.829999999999998</v>
      </c>
      <c r="K16">
        <v>72347</v>
      </c>
    </row>
    <row r="17" spans="1:11" x14ac:dyDescent="0.2">
      <c r="A17">
        <v>2017</v>
      </c>
      <c r="B17">
        <v>18.2</v>
      </c>
      <c r="C17">
        <v>77.08</v>
      </c>
      <c r="D17">
        <v>33.65</v>
      </c>
      <c r="E17">
        <v>456</v>
      </c>
      <c r="F17">
        <v>1556</v>
      </c>
      <c r="G17">
        <v>5800</v>
      </c>
      <c r="H17">
        <v>8098</v>
      </c>
      <c r="I17">
        <v>37.6</v>
      </c>
      <c r="J17">
        <v>19.829999999999998</v>
      </c>
      <c r="K17">
        <v>74122</v>
      </c>
    </row>
    <row r="18" spans="1:11" x14ac:dyDescent="0.2">
      <c r="A18">
        <v>2018</v>
      </c>
      <c r="B18">
        <v>16.16</v>
      </c>
      <c r="C18">
        <v>77.14</v>
      </c>
      <c r="D18">
        <v>33.875</v>
      </c>
      <c r="E18">
        <v>498</v>
      </c>
      <c r="F18">
        <v>1607</v>
      </c>
      <c r="G18">
        <v>5496</v>
      </c>
      <c r="H18">
        <v>6691</v>
      </c>
      <c r="I18">
        <v>37.6</v>
      </c>
      <c r="J18">
        <v>20.05</v>
      </c>
      <c r="K18">
        <v>76009</v>
      </c>
    </row>
    <row r="19" spans="1:11" x14ac:dyDescent="0.2">
      <c r="A19">
        <v>2019</v>
      </c>
      <c r="B19">
        <v>15</v>
      </c>
      <c r="C19">
        <v>77.48</v>
      </c>
      <c r="D19">
        <v>33.5</v>
      </c>
      <c r="E19">
        <v>535</v>
      </c>
      <c r="F19">
        <v>1706</v>
      </c>
      <c r="G19">
        <v>5525</v>
      </c>
      <c r="H19">
        <v>5646</v>
      </c>
      <c r="I19">
        <v>37.4</v>
      </c>
      <c r="J19">
        <v>20.5</v>
      </c>
      <c r="K19">
        <v>77670</v>
      </c>
    </row>
    <row r="20" spans="1:11" x14ac:dyDescent="0.2">
      <c r="A20">
        <v>2020</v>
      </c>
      <c r="B20">
        <v>16.75</v>
      </c>
      <c r="C20">
        <v>76.25</v>
      </c>
      <c r="D20">
        <v>30.35</v>
      </c>
      <c r="E20">
        <v>703</v>
      </c>
      <c r="F20">
        <v>3039</v>
      </c>
      <c r="G20">
        <v>7105</v>
      </c>
      <c r="H20">
        <v>5257</v>
      </c>
      <c r="I20">
        <v>37.4</v>
      </c>
      <c r="J20">
        <v>21.62</v>
      </c>
      <c r="K20">
        <v>75405</v>
      </c>
    </row>
    <row r="21" spans="1:11" x14ac:dyDescent="0.2">
      <c r="A21">
        <v>2021</v>
      </c>
      <c r="B21">
        <v>16.010000000000002</v>
      </c>
      <c r="C21">
        <v>77.91</v>
      </c>
      <c r="D21">
        <v>31.774999999999999</v>
      </c>
      <c r="E21">
        <v>776</v>
      </c>
      <c r="F21">
        <v>2295</v>
      </c>
      <c r="G21">
        <v>6157</v>
      </c>
      <c r="H21">
        <v>6490</v>
      </c>
      <c r="I21">
        <v>37.4</v>
      </c>
      <c r="J21">
        <v>21.49</v>
      </c>
      <c r="K21">
        <v>77680</v>
      </c>
    </row>
    <row r="22" spans="1:11" x14ac:dyDescent="0.2">
      <c r="A22">
        <v>2022</v>
      </c>
      <c r="B22">
        <v>13.76</v>
      </c>
      <c r="C22">
        <v>78.459999999999994</v>
      </c>
      <c r="D22">
        <v>32.125</v>
      </c>
      <c r="E22">
        <v>843</v>
      </c>
      <c r="F22">
        <v>2326</v>
      </c>
      <c r="G22">
        <v>5592</v>
      </c>
      <c r="H22">
        <v>5397</v>
      </c>
      <c r="I22">
        <v>37.700000000000003</v>
      </c>
      <c r="J22">
        <v>21.99</v>
      </c>
      <c r="K22">
        <v>80305</v>
      </c>
    </row>
    <row r="23" spans="1:11" x14ac:dyDescent="0.2">
      <c r="A23">
        <v>2023</v>
      </c>
      <c r="B23">
        <v>12.88</v>
      </c>
      <c r="C23">
        <v>79.28</v>
      </c>
      <c r="D23">
        <v>32.024999999999999</v>
      </c>
      <c r="E23">
        <v>861</v>
      </c>
      <c r="F23">
        <v>2385</v>
      </c>
      <c r="G23">
        <v>5694</v>
      </c>
      <c r="H23">
        <v>4641</v>
      </c>
      <c r="I23">
        <v>37.700000000000003</v>
      </c>
      <c r="J23">
        <v>23.21</v>
      </c>
      <c r="K23">
        <v>82737</v>
      </c>
    </row>
    <row r="24" spans="1:11" x14ac:dyDescent="0.2">
      <c r="A24">
        <v>2024</v>
      </c>
      <c r="B24">
        <v>11.91</v>
      </c>
      <c r="C24">
        <v>79.510000000000005</v>
      </c>
      <c r="D24">
        <v>31.875</v>
      </c>
      <c r="E24">
        <v>957</v>
      </c>
      <c r="F24">
        <v>2553</v>
      </c>
      <c r="G24">
        <v>5508</v>
      </c>
      <c r="H24">
        <v>4154</v>
      </c>
      <c r="I24">
        <v>37.5</v>
      </c>
      <c r="J24">
        <v>24.13</v>
      </c>
      <c r="K24">
        <v>84426</v>
      </c>
    </row>
    <row r="25" spans="1:11" x14ac:dyDescent="0.2">
      <c r="A25">
        <v>2025</v>
      </c>
      <c r="B25">
        <v>11.1</v>
      </c>
      <c r="C25">
        <v>80.11</v>
      </c>
      <c r="D25">
        <v>31.725000000000001</v>
      </c>
      <c r="E25">
        <v>1005</v>
      </c>
      <c r="F25">
        <v>2627</v>
      </c>
      <c r="G25">
        <v>5370</v>
      </c>
      <c r="H25">
        <v>3742</v>
      </c>
      <c r="I25">
        <v>37.5</v>
      </c>
      <c r="J25">
        <v>25.03</v>
      </c>
      <c r="K25">
        <v>86414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A654-8E01-F842-AE5F-F8F9619100E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E8AE9-C3F8-D34C-B5F5-3CEA7C62A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Tabla (4)</vt:lpstr>
      <vt:lpstr>ocupados (3)</vt:lpstr>
      <vt:lpstr>horas habitualmente trabajadas</vt:lpstr>
      <vt:lpstr>coste laboral</vt:lpstr>
      <vt:lpstr>Tabla</vt:lpstr>
      <vt:lpstr>parados larga duracion</vt:lpstr>
      <vt:lpstr>parados corta duracion</vt:lpstr>
      <vt:lpstr>total absentismo</vt:lpstr>
      <vt:lpstr>enf, accidente</vt:lpstr>
      <vt:lpstr>horas trabajadas</vt:lpstr>
      <vt:lpstr>ACTIVIDAD</vt:lpstr>
      <vt:lpstr>PARO</vt:lpstr>
      <vt:lpstr>merge para el modelo</vt:lpstr>
      <vt:lpstr>merge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Die Sánchez</dc:creator>
  <cp:lastModifiedBy>Victoria Die Sánchez</cp:lastModifiedBy>
  <dcterms:created xsi:type="dcterms:W3CDTF">2026-03-26T16:50:42Z</dcterms:created>
  <dcterms:modified xsi:type="dcterms:W3CDTF">2026-04-08T17:41:12Z</dcterms:modified>
</cp:coreProperties>
</file>